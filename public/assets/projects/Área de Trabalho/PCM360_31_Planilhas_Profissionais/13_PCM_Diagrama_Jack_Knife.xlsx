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a Jack-Knife" sheetId="1" state="visible" r:id="rId3"/>
  </sheets>
  <definedNames>
    <definedName function="false" hidden="true" localSheetId="0" name="_xlnm._FilterDatabase" vbProcedure="false">'Diagrama Jack-Knife'!$A$2:$F$2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<sst xmlns="http://schemas.openxmlformats.org/spreadsheetml/2006/main" count="12" uniqueCount="12">
  <si>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Diagrama Jack-Knife — Priorização de Falhas</t>
  </si>
  <si>
    <t xml:space="preserve">Nº</t>
  </si>
  <si>
    <t xml:space="preserve">Equipamento / Modo de Falha</t>
  </si>
  <si>
    <t xml:space="preserve">Nº de Falhas (Frequência)</t>
  </si>
  <si>
    <t xml:space="preserve">Tempo Total de Parada (h)</t>
  </si>
  <si>
    <t xml:space="preserve">Tempo Médio de Parada por Falha (h)</t>
  </si>
  <si>
    <t xml:space="preserve">Classificação (Quadrante)</t>
  </si>
  <si>
    <t xml:space="preserve">Bomba d'água PN-02</t>
  </si>
  <si>
    <t xml:space="preserve">Motor de Partida CM-005</t>
  </si>
  <si>
    <t xml:space="preserve">Correia do Compressor CP-01</t>
  </si>
  <si>
    <t xml:space="preserve">Sensor de Nível Tanque T-02</t>
  </si>
  <si>
    <t xml:space="preserve">Criado por Peter Knights (2001) para priorizar falhas. Eixo X = frequência de falhas; Eixo Y = tempo médio de parada por falha. As linhas de média dividem o gráfico em 4 quadrantes: falhas crônicas (alta frequência), esporádicas (alto impacto isolado), crônicas+esporádicas (prioridade máxima) e baixa prioridade. O gráfico de dispersão está na aba, à direita da tabela.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</si>
</sst>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Jack-Knife — Frequência x Tempo Médio de Parada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"Modos de falha"</c:f>
              <c:strCache>
                <c:ptCount val="1"/>
                <c:pt idx="0">
                  <c:v>Modos de falha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'Diagrama Jack-Knife'!$C$3:$C$6</c:f>
              <c:numCache>
                <c:formatCode>General</c:formatCode>
                <c:ptCount val="4"/>
                <c:pt idx="0">
                  <c:v>12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</c:numCache>
            </c:numRef>
          </c:xVal>
          <c:yVal>
            <c:numRef>
              <c:f>'Diagrama Jack-Knife'!$E$3:$E$6</c:f>
              <c:numCache>
                <c:formatCode>General</c:formatCode>
                <c:ptCount val="4"/>
                <c:pt idx="0">
                  <c:v>1.5</c:v>
                </c:pt>
                <c:pt idx="1">
                  <c:v>9</c:v>
                </c:pt>
                <c:pt idx="2">
                  <c:v>0.5</c:v>
                </c:pt>
                <c:pt idx="3">
                  <c:v>1.5</c:v>
                </c:pt>
              </c:numCache>
            </c:numRef>
          </c:yVal>
          <c:smooth val="1"/>
        </c:ser>
        <c:axId val="3045275"/>
        <c:axId val="38978311"/>
      </c:scatterChart>
      <c:valAx>
        <c:axId val="30452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Falhas (Frequência)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78311"/>
        <c:crosses val="autoZero"/>
        <c:crossBetween val="midCat"/>
      </c:valAx>
      <c:valAx>
        <c:axId val="38978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Tempo Médio de Parada por Falha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52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4680</xdr:colOff>
      <xdr:row>16</xdr:row>
      <xdr:rowOff>121680</xdr:rowOff>
    </xdr:to>
    <xdr:graphicFrame>
      <xdr:nvGraphicFramePr>
        <xdr:cNvPr id="0" name="Chart 1"/>
        <xdr:cNvGraphicFramePr/>
      </xdr:nvGraphicFramePr>
      <xdr:xfrm>
        <a:off x="8928720" y="7239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n">
        <v>1</v>
      </c>
      <c r="B3" s="3" t="s">
        <v>7</v>
      </c>
      <c r="C3" s="3" t="n">
        <v>12</v>
      </c>
      <c r="D3" s="3" t="n">
        <v>18</v>
      </c>
      <c r="E3" s="4" t="n">
        <f aca="false">D3/C3</f>
        <v>1.5</v>
      </c>
      <c r="F3" s="4" t="str">
        <f aca="false">IF(C3&gt;=AVERAGE($C$3:$C$6),IF(E3&gt;=AVERAGE($E$3:$E$6),"Crônico + Esporádico (prioridade máxima)","Crônico (alta frequência, baixo impacto)"),IF(E3&gt;=AVERAGE($E$3:$E$6),"Esporádico (alto impacto)","Baixa prioridade"))</f>
        <v>Crônico (alta frequência, baixo impacto)</v>
      </c>
    </row>
    <row r="4" customFormat="false" ht="15" hidden="false" customHeight="false" outlineLevel="0" collapsed="false">
      <c r="A4" s="5" t="n">
        <v>2</v>
      </c>
      <c r="B4" s="5" t="s">
        <v>8</v>
      </c>
      <c r="C4" s="5" t="n">
        <v>3</v>
      </c>
      <c r="D4" s="5" t="n">
        <v>27</v>
      </c>
      <c r="E4" s="6" t="n">
        <f aca="false">D4/C4</f>
        <v>9</v>
      </c>
      <c r="F4" s="6" t="str">
        <f aca="false">IF(C4&gt;=AVERAGE($C$3:$C$6),IF(E4&gt;=AVERAGE($E$3:$E$6),"Crônico + Esporádico (prioridade máxima)","Crônico (alta frequência, baixo impacto)"),IF(E4&gt;=AVERAGE($E$3:$E$6),"Esporádico (alto impacto)","Baixa prioridade"))</f>
        <v>Esporádico (alto impacto)</v>
      </c>
    </row>
    <row r="5" customFormat="false" ht="23.85" hidden="false" customHeight="false" outlineLevel="0" collapsed="false">
      <c r="A5" s="3" t="n">
        <v>3</v>
      </c>
      <c r="B5" s="3" t="s">
        <v>9</v>
      </c>
      <c r="C5" s="3" t="n">
        <v>9</v>
      </c>
      <c r="D5" s="3" t="n">
        <v>4.5</v>
      </c>
      <c r="E5" s="4" t="n">
        <f aca="false">D5/C5</f>
        <v>0.5</v>
      </c>
      <c r="F5" s="4" t="str">
        <f aca="false">IF(C5&gt;=AVERAGE($C$3:$C$6),IF(E5&gt;=AVERAGE($E$3:$E$6),"Crônico + Esporádico (prioridade máxima)","Crônico (alta frequência, baixo impacto)"),IF(E5&gt;=AVERAGE($E$3:$E$6),"Esporádico (alto impacto)","Baixa prioridade"))</f>
        <v>Crônico (alta frequência, baixo impacto)</v>
      </c>
    </row>
    <row r="6" customFormat="false" ht="15" hidden="false" customHeight="false" outlineLevel="0" collapsed="false">
      <c r="A6" s="5" t="n">
        <v>4</v>
      </c>
      <c r="B6" s="5" t="s">
        <v>10</v>
      </c>
      <c r="C6" s="5" t="n">
        <v>2</v>
      </c>
      <c r="D6" s="5" t="n">
        <v>3</v>
      </c>
      <c r="E6" s="6" t="n">
        <f aca="false">D6/C6</f>
        <v>1.5</v>
      </c>
      <c r="F6" s="6" t="str">
        <f aca="false">IF(C6&gt;=AVERAGE($C$3:$C$6),IF(E6&gt;=AVERAGE($E$3:$E$6),"Crônico + Esporádico (prioridade máxima)","Crônico (alta frequência, baixo impacto)"),IF(E6&gt;=AVERAGE($E$3:$E$6),"Esporádico (alto impacto)","Baixa prioridade"))</f>
        <v>Baixa prioridade</v>
      </c>
    </row>
    <row r="8" customFormat="false" ht="32.8" hidden="false" customHeight="true" outlineLevel="0" collapsed="false">
      <c r="A8" s="7" t="s">
        <v>11</v>
      </c>
      <c r="B8" s="7"/>
      <c r="C8" s="7"/>
      <c r="D8" s="7"/>
      <c r="E8" s="7"/>
      <c r="F8" s="7"/>
    </row>
  </sheetData>
  <autoFilter ref="A2:F2"/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