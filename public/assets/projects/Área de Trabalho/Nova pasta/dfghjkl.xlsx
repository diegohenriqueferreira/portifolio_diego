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2001_{4B67330B-80DA-4A4B-8347-10080DC41DB4}" xr6:coauthVersionLast="47" xr6:coauthVersionMax="47" xr10:uidLastSave="{00000000-0000-0000-0000-000000000000}"/>
  <bookViews>
    <workbookView xWindow="-120" yWindow="-120" windowWidth="20730" windowHeight="11160" tabRatio="744" activeTab="2" xr2:uid="{00000000-000D-0000-FFFF-FFFF00000000}"/>
  </bookViews>
  <sheets>
    <sheet name="Leia-me" sheetId="1" r:id="rId1"/>
    <sheet name="Dashboard" sheetId="2" r:id="rId2"/>
    <sheet name="Materiais" sheetId="3" r:id="rId3"/>
    <sheet name="Fornecedores" sheetId="4" r:id="rId4"/>
    <sheet name="Movimentacoes" sheetId="5" r:id="rId5"/>
    <sheet name="Requisicoes" sheetId="6" r:id="rId6"/>
    <sheet name="Pedidos" sheetId="7" r:id="rId7"/>
    <sheet name="Indicadores" sheetId="8" r:id="rId8"/>
  </sheets>
  <definedNames>
    <definedName name="_xlnm._FilterDatabase" localSheetId="2" hidden="1">Materiais!$A$1:$W$46</definedName>
  </definedNames>
  <calcPr calcId="191029"/>
  <pivotCaches>
    <pivotCache cacheId="7" r:id="rId9"/>
    <pivotCache cacheId="11" r:id="rId10"/>
  </pivotCaches>
  <fileRecoveryPr repairLoad="1"/>
</workbook>
</file>

<file path=xl/calcChain.xml><?xml version="1.0" encoding="utf-8"?>
<calcChain xmlns="http://schemas.openxmlformats.org/spreadsheetml/2006/main">
  <c r="R47" i="3" l="1"/>
  <c r="R2" i="3"/>
  <c r="L2" i="3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L7" i="2" l="1"/>
  <c r="B7" i="2"/>
  <c r="L4" i="2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A3" i="8" a="1"/>
  <c r="A3" i="8" s="1"/>
  <c r="A4" i="8" s="1" a="1"/>
  <c r="A4" i="8" s="1"/>
  <c r="A2" i="4" a="1"/>
  <c r="A2" i="4" s="1"/>
  <c r="A3" i="4" s="1" a="1"/>
  <c r="A3" i="4" s="1"/>
  <c r="Q3" i="3"/>
  <c r="S3" i="3" s="1"/>
  <c r="Q4" i="3"/>
  <c r="S4" i="3" s="1"/>
  <c r="Q5" i="3"/>
  <c r="S5" i="3" s="1"/>
  <c r="Q6" i="3"/>
  <c r="S6" i="3" s="1"/>
  <c r="Q7" i="3"/>
  <c r="S7" i="3" s="1"/>
  <c r="Q8" i="3"/>
  <c r="S8" i="3" s="1"/>
  <c r="Q9" i="3"/>
  <c r="S9" i="3" s="1"/>
  <c r="Q10" i="3"/>
  <c r="S10" i="3" s="1"/>
  <c r="Q11" i="3"/>
  <c r="S11" i="3" s="1"/>
  <c r="Q12" i="3"/>
  <c r="S12" i="3" s="1"/>
  <c r="Q13" i="3"/>
  <c r="S13" i="3" s="1"/>
  <c r="Q14" i="3"/>
  <c r="S14" i="3" s="1"/>
  <c r="Q15" i="3"/>
  <c r="S15" i="3" s="1"/>
  <c r="Q16" i="3"/>
  <c r="S16" i="3" s="1"/>
  <c r="Q17" i="3"/>
  <c r="S17" i="3" s="1"/>
  <c r="Q18" i="3"/>
  <c r="S18" i="3" s="1"/>
  <c r="Q19" i="3"/>
  <c r="S19" i="3" s="1"/>
  <c r="Q20" i="3"/>
  <c r="S20" i="3" s="1"/>
  <c r="Q21" i="3"/>
  <c r="S21" i="3" s="1"/>
  <c r="Q22" i="3"/>
  <c r="S22" i="3" s="1"/>
  <c r="Q23" i="3"/>
  <c r="S23" i="3" s="1"/>
  <c r="Q24" i="3"/>
  <c r="S24" i="3" s="1"/>
  <c r="Q25" i="3"/>
  <c r="S25" i="3" s="1"/>
  <c r="Q26" i="3"/>
  <c r="S26" i="3" s="1"/>
  <c r="Q27" i="3"/>
  <c r="S27" i="3" s="1"/>
  <c r="Q28" i="3"/>
  <c r="S28" i="3" s="1"/>
  <c r="Q29" i="3"/>
  <c r="S29" i="3" s="1"/>
  <c r="Q30" i="3"/>
  <c r="S30" i="3" s="1"/>
  <c r="Q31" i="3"/>
  <c r="S31" i="3" s="1"/>
  <c r="Q32" i="3"/>
  <c r="S32" i="3" s="1"/>
  <c r="Q33" i="3"/>
  <c r="S33" i="3" s="1"/>
  <c r="Q34" i="3"/>
  <c r="S34" i="3" s="1"/>
  <c r="Q35" i="3"/>
  <c r="S35" i="3" s="1"/>
  <c r="Q36" i="3"/>
  <c r="S36" i="3" s="1"/>
  <c r="Q37" i="3"/>
  <c r="S37" i="3" s="1"/>
  <c r="Q38" i="3"/>
  <c r="S38" i="3" s="1"/>
  <c r="Q39" i="3"/>
  <c r="S39" i="3" s="1"/>
  <c r="Q40" i="3"/>
  <c r="S40" i="3" s="1"/>
  <c r="Q41" i="3"/>
  <c r="S41" i="3" s="1"/>
  <c r="Q42" i="3"/>
  <c r="S42" i="3" s="1"/>
  <c r="Q43" i="3"/>
  <c r="S43" i="3" s="1"/>
  <c r="Q44" i="3"/>
  <c r="S44" i="3" s="1"/>
  <c r="Q45" i="3"/>
  <c r="S45" i="3" s="1"/>
  <c r="Q46" i="3"/>
  <c r="S46" i="3" s="1"/>
  <c r="Q2" i="3"/>
  <c r="S2" i="3" s="1"/>
  <c r="N45" i="3"/>
  <c r="N46" i="3"/>
  <c r="M45" i="3"/>
  <c r="M46" i="3"/>
  <c r="H45" i="3"/>
  <c r="H46" i="3"/>
  <c r="G45" i="3"/>
  <c r="G46" i="3"/>
  <c r="O136" i="7"/>
  <c r="O137" i="7"/>
  <c r="N136" i="7"/>
  <c r="N137" i="7"/>
  <c r="L137" i="7"/>
  <c r="I137" i="7"/>
  <c r="O3" i="7"/>
  <c r="O4" i="7"/>
  <c r="O5" i="7"/>
  <c r="O6" i="7"/>
  <c r="O7" i="7"/>
  <c r="O8" i="7"/>
  <c r="O54" i="7"/>
  <c r="O10" i="7"/>
  <c r="O11" i="7"/>
  <c r="O12" i="7"/>
  <c r="O28" i="7"/>
  <c r="O14" i="7"/>
  <c r="O15" i="7"/>
  <c r="O16" i="7"/>
  <c r="O58" i="7"/>
  <c r="O18" i="7"/>
  <c r="O19" i="7"/>
  <c r="O20" i="7"/>
  <c r="O21" i="7"/>
  <c r="O22" i="7"/>
  <c r="O23" i="7"/>
  <c r="O62" i="7"/>
  <c r="O25" i="7"/>
  <c r="O26" i="7"/>
  <c r="O27" i="7"/>
  <c r="O2" i="7"/>
  <c r="O29" i="7"/>
  <c r="O30" i="7"/>
  <c r="O31" i="7"/>
  <c r="O73" i="7"/>
  <c r="O33" i="7"/>
  <c r="O34" i="7"/>
  <c r="O35" i="7"/>
  <c r="O36" i="7"/>
  <c r="O37" i="7"/>
  <c r="O38" i="7"/>
  <c r="O75" i="7"/>
  <c r="O40" i="7"/>
  <c r="O41" i="7"/>
  <c r="O42" i="7"/>
  <c r="O9" i="7"/>
  <c r="O44" i="7"/>
  <c r="O45" i="7"/>
  <c r="O46" i="7"/>
  <c r="O83" i="7"/>
  <c r="O48" i="7"/>
  <c r="O49" i="7"/>
  <c r="O50" i="7"/>
  <c r="O51" i="7"/>
  <c r="O52" i="7"/>
  <c r="O53" i="7"/>
  <c r="O88" i="7"/>
  <c r="O55" i="7"/>
  <c r="O56" i="7"/>
  <c r="O57" i="7"/>
  <c r="O13" i="7"/>
  <c r="O59" i="7"/>
  <c r="O60" i="7"/>
  <c r="O61" i="7"/>
  <c r="O90" i="7"/>
  <c r="O63" i="7"/>
  <c r="O64" i="7"/>
  <c r="O65" i="7"/>
  <c r="O66" i="7"/>
  <c r="O67" i="7"/>
  <c r="O68" i="7"/>
  <c r="O69" i="7"/>
  <c r="O70" i="7"/>
  <c r="O71" i="7"/>
  <c r="O72" i="7"/>
  <c r="O32" i="7"/>
  <c r="O74" i="7"/>
  <c r="O98" i="7"/>
  <c r="O76" i="7"/>
  <c r="O77" i="7"/>
  <c r="O78" i="7"/>
  <c r="O79" i="7"/>
  <c r="O80" i="7"/>
  <c r="O81" i="7"/>
  <c r="O82" i="7"/>
  <c r="O103" i="7"/>
  <c r="O84" i="7"/>
  <c r="O85" i="7"/>
  <c r="O86" i="7"/>
  <c r="O87" i="7"/>
  <c r="O17" i="7"/>
  <c r="O89" i="7"/>
  <c r="O105" i="7"/>
  <c r="O91" i="7"/>
  <c r="O92" i="7"/>
  <c r="O93" i="7"/>
  <c r="O94" i="7"/>
  <c r="O95" i="7"/>
  <c r="O96" i="7"/>
  <c r="O97" i="7"/>
  <c r="O113" i="7"/>
  <c r="O99" i="7"/>
  <c r="O100" i="7"/>
  <c r="O101" i="7"/>
  <c r="O102" i="7"/>
  <c r="O39" i="7"/>
  <c r="O104" i="7"/>
  <c r="O118" i="7"/>
  <c r="O106" i="7"/>
  <c r="O107" i="7"/>
  <c r="O108" i="7"/>
  <c r="O109" i="7"/>
  <c r="O110" i="7"/>
  <c r="O111" i="7"/>
  <c r="O112" i="7"/>
  <c r="O120" i="7"/>
  <c r="O114" i="7"/>
  <c r="O115" i="7"/>
  <c r="O116" i="7"/>
  <c r="O117" i="7"/>
  <c r="O24" i="7"/>
  <c r="O119" i="7"/>
  <c r="O128" i="7"/>
  <c r="O121" i="7"/>
  <c r="O122" i="7"/>
  <c r="O123" i="7"/>
  <c r="O124" i="7"/>
  <c r="O125" i="7"/>
  <c r="O126" i="7"/>
  <c r="O127" i="7"/>
  <c r="O133" i="7"/>
  <c r="O129" i="7"/>
  <c r="O130" i="7"/>
  <c r="O131" i="7"/>
  <c r="O132" i="7"/>
  <c r="O43" i="7"/>
  <c r="O134" i="7"/>
  <c r="O135" i="7"/>
  <c r="N3" i="7"/>
  <c r="N4" i="7"/>
  <c r="N5" i="7"/>
  <c r="N6" i="7"/>
  <c r="N7" i="7"/>
  <c r="N8" i="7"/>
  <c r="N54" i="7"/>
  <c r="N10" i="7"/>
  <c r="N11" i="7"/>
  <c r="N12" i="7"/>
  <c r="N28" i="7"/>
  <c r="N14" i="7"/>
  <c r="N15" i="7"/>
  <c r="N16" i="7"/>
  <c r="N58" i="7"/>
  <c r="N18" i="7"/>
  <c r="N19" i="7"/>
  <c r="N20" i="7"/>
  <c r="N21" i="7"/>
  <c r="N22" i="7"/>
  <c r="N23" i="7"/>
  <c r="N62" i="7"/>
  <c r="N25" i="7"/>
  <c r="N26" i="7"/>
  <c r="N27" i="7"/>
  <c r="N2" i="7"/>
  <c r="N29" i="7"/>
  <c r="N30" i="7"/>
  <c r="N31" i="7"/>
  <c r="N73" i="7"/>
  <c r="N33" i="7"/>
  <c r="N34" i="7"/>
  <c r="N35" i="7"/>
  <c r="N36" i="7"/>
  <c r="N37" i="7"/>
  <c r="N38" i="7"/>
  <c r="N75" i="7"/>
  <c r="N40" i="7"/>
  <c r="N41" i="7"/>
  <c r="N42" i="7"/>
  <c r="N9" i="7"/>
  <c r="N44" i="7"/>
  <c r="N45" i="7"/>
  <c r="N46" i="7"/>
  <c r="N83" i="7"/>
  <c r="N48" i="7"/>
  <c r="N49" i="7"/>
  <c r="N50" i="7"/>
  <c r="N51" i="7"/>
  <c r="N52" i="7"/>
  <c r="N53" i="7"/>
  <c r="N88" i="7"/>
  <c r="N55" i="7"/>
  <c r="N56" i="7"/>
  <c r="N57" i="7"/>
  <c r="N13" i="7"/>
  <c r="N59" i="7"/>
  <c r="N60" i="7"/>
  <c r="N61" i="7"/>
  <c r="N90" i="7"/>
  <c r="N63" i="7"/>
  <c r="N64" i="7"/>
  <c r="N65" i="7"/>
  <c r="N66" i="7"/>
  <c r="N67" i="7"/>
  <c r="N68" i="7"/>
  <c r="N69" i="7"/>
  <c r="N70" i="7"/>
  <c r="N71" i="7"/>
  <c r="N72" i="7"/>
  <c r="N32" i="7"/>
  <c r="N74" i="7"/>
  <c r="N98" i="7"/>
  <c r="N76" i="7"/>
  <c r="N77" i="7"/>
  <c r="N78" i="7"/>
  <c r="N79" i="7"/>
  <c r="N80" i="7"/>
  <c r="N81" i="7"/>
  <c r="N82" i="7"/>
  <c r="N103" i="7"/>
  <c r="N84" i="7"/>
  <c r="N85" i="7"/>
  <c r="N86" i="7"/>
  <c r="N87" i="7"/>
  <c r="N17" i="7"/>
  <c r="N89" i="7"/>
  <c r="N105" i="7"/>
  <c r="N91" i="7"/>
  <c r="N92" i="7"/>
  <c r="N93" i="7"/>
  <c r="N94" i="7"/>
  <c r="N95" i="7"/>
  <c r="N96" i="7"/>
  <c r="N97" i="7"/>
  <c r="N113" i="7"/>
  <c r="N99" i="7"/>
  <c r="N100" i="7"/>
  <c r="N101" i="7"/>
  <c r="N102" i="7"/>
  <c r="N39" i="7"/>
  <c r="N104" i="7"/>
  <c r="N118" i="7"/>
  <c r="N106" i="7"/>
  <c r="N107" i="7"/>
  <c r="N108" i="7"/>
  <c r="N109" i="7"/>
  <c r="N110" i="7"/>
  <c r="N111" i="7"/>
  <c r="N112" i="7"/>
  <c r="N120" i="7"/>
  <c r="N114" i="7"/>
  <c r="N115" i="7"/>
  <c r="N116" i="7"/>
  <c r="N117" i="7"/>
  <c r="N24" i="7"/>
  <c r="N119" i="7"/>
  <c r="N128" i="7"/>
  <c r="N121" i="7"/>
  <c r="N122" i="7"/>
  <c r="N123" i="7"/>
  <c r="N124" i="7"/>
  <c r="N125" i="7"/>
  <c r="N126" i="7"/>
  <c r="N127" i="7"/>
  <c r="N133" i="7"/>
  <c r="N129" i="7"/>
  <c r="N130" i="7"/>
  <c r="N131" i="7"/>
  <c r="N132" i="7"/>
  <c r="N43" i="7"/>
  <c r="N134" i="7"/>
  <c r="N135" i="7"/>
  <c r="B26" i="8"/>
  <c r="B17" i="8"/>
  <c r="B18" i="8"/>
  <c r="B27" i="8"/>
  <c r="B25" i="8"/>
  <c r="B19" i="8"/>
  <c r="B20" i="8"/>
  <c r="N44" i="3" l="1"/>
  <c r="N7" i="2"/>
  <c r="I7" i="2"/>
  <c r="N43" i="3"/>
  <c r="A5" i="8" a="1"/>
  <c r="A5" i="8" s="1"/>
  <c r="A6" i="8" s="1" a="1"/>
  <c r="A6" i="8" s="1"/>
  <c r="A7" i="8" s="1" a="1"/>
  <c r="A7" i="8" s="1"/>
  <c r="B7" i="4"/>
  <c r="A4" i="4" a="1"/>
  <c r="A4" i="4" s="1"/>
  <c r="E3" i="4"/>
  <c r="G3" i="4"/>
  <c r="E2" i="4"/>
  <c r="B3" i="4"/>
  <c r="B2" i="4"/>
  <c r="L2" i="5"/>
  <c r="L7" i="5"/>
  <c r="L9" i="5"/>
  <c r="L12" i="5"/>
  <c r="L15" i="5"/>
  <c r="L18" i="5"/>
  <c r="L22" i="5"/>
  <c r="L24" i="5"/>
  <c r="L26" i="5"/>
  <c r="L29" i="5"/>
  <c r="L34" i="5"/>
  <c r="L37" i="5"/>
  <c r="L40" i="5"/>
  <c r="L41" i="5"/>
  <c r="L44" i="5"/>
  <c r="L47" i="5"/>
  <c r="L3" i="5"/>
  <c r="L6" i="5"/>
  <c r="L8" i="5"/>
  <c r="L13" i="5"/>
  <c r="L16" i="5"/>
  <c r="L19" i="5"/>
  <c r="L21" i="5"/>
  <c r="L25" i="5"/>
  <c r="L27" i="5"/>
  <c r="L30" i="5"/>
  <c r="L32" i="5"/>
  <c r="L35" i="5"/>
  <c r="L39" i="5"/>
  <c r="L43" i="5"/>
  <c r="L45" i="5"/>
  <c r="L48" i="5"/>
  <c r="L4" i="5"/>
  <c r="L5" i="5"/>
  <c r="L10" i="5"/>
  <c r="L11" i="5"/>
  <c r="L14" i="5"/>
  <c r="L17" i="5"/>
  <c r="L20" i="5"/>
  <c r="L23" i="5"/>
  <c r="L28" i="5"/>
  <c r="L31" i="5"/>
  <c r="L33" i="5"/>
  <c r="L36" i="5"/>
  <c r="L38" i="5"/>
  <c r="L42" i="5"/>
  <c r="L46" i="5"/>
  <c r="L435" i="5"/>
  <c r="L75" i="5"/>
  <c r="L125" i="5"/>
  <c r="L164" i="5"/>
  <c r="L210" i="5"/>
  <c r="L237" i="5"/>
  <c r="L281" i="5"/>
  <c r="L301" i="5"/>
  <c r="L357" i="5"/>
  <c r="L413" i="5"/>
  <c r="L443" i="5"/>
  <c r="L479" i="5"/>
  <c r="L536" i="5"/>
  <c r="L583" i="5"/>
  <c r="L616" i="5"/>
  <c r="L660" i="5"/>
  <c r="L685" i="5"/>
  <c r="L66" i="5"/>
  <c r="L102" i="5"/>
  <c r="L162" i="5"/>
  <c r="L206" i="5"/>
  <c r="L217" i="5"/>
  <c r="L267" i="5"/>
  <c r="L338" i="5"/>
  <c r="L343" i="5"/>
  <c r="L408" i="5"/>
  <c r="L439" i="5"/>
  <c r="L496" i="5"/>
  <c r="L541" i="5"/>
  <c r="L584" i="5"/>
  <c r="L617" i="5"/>
  <c r="L673" i="5"/>
  <c r="L695" i="5"/>
  <c r="L57" i="5"/>
  <c r="L109" i="5"/>
  <c r="L160" i="5"/>
  <c r="L182" i="5"/>
  <c r="L232" i="5"/>
  <c r="L260" i="5"/>
  <c r="L337" i="5"/>
  <c r="L361" i="5"/>
  <c r="L417" i="5"/>
  <c r="L456" i="5"/>
  <c r="L486" i="5"/>
  <c r="L538" i="5"/>
  <c r="L585" i="5"/>
  <c r="L618" i="5"/>
  <c r="L638" i="5"/>
  <c r="L713" i="5"/>
  <c r="L89" i="5"/>
  <c r="L116" i="5"/>
  <c r="L149" i="5"/>
  <c r="L198" i="5"/>
  <c r="L238" i="5"/>
  <c r="L268" i="5"/>
  <c r="L306" i="5"/>
  <c r="L358" i="5"/>
  <c r="L414" i="5"/>
  <c r="L447" i="5"/>
  <c r="L470" i="5"/>
  <c r="L512" i="5"/>
  <c r="L564" i="5"/>
  <c r="L619" i="5"/>
  <c r="L642" i="5"/>
  <c r="L680" i="5"/>
  <c r="L49" i="5"/>
  <c r="L93" i="5"/>
  <c r="L146" i="5"/>
  <c r="L188" i="5"/>
  <c r="L218" i="5"/>
  <c r="L261" i="5"/>
  <c r="L334" i="5"/>
  <c r="L381" i="5"/>
  <c r="L400" i="5"/>
  <c r="L454" i="5"/>
  <c r="L504" i="5"/>
  <c r="L542" i="5"/>
  <c r="L578" i="5"/>
  <c r="L600" i="5"/>
  <c r="L651" i="5"/>
  <c r="L681" i="5"/>
  <c r="L81" i="5"/>
  <c r="L104" i="5"/>
  <c r="L165" i="5"/>
  <c r="L183" i="5"/>
  <c r="L226" i="5"/>
  <c r="L264" i="5"/>
  <c r="L311" i="5"/>
  <c r="L354" i="5"/>
  <c r="L405" i="5"/>
  <c r="L444" i="5"/>
  <c r="L476" i="5"/>
  <c r="L537" i="5"/>
  <c r="L581" i="5"/>
  <c r="L623" i="5"/>
  <c r="L656" i="5"/>
  <c r="L714" i="5"/>
  <c r="L50" i="5"/>
  <c r="L91" i="5"/>
  <c r="L169" i="5"/>
  <c r="L189" i="5"/>
  <c r="L246" i="5"/>
  <c r="L282" i="5"/>
  <c r="L307" i="5"/>
  <c r="L382" i="5"/>
  <c r="L393" i="5"/>
  <c r="L427" i="5"/>
  <c r="L487" i="5"/>
  <c r="L513" i="5"/>
  <c r="L565" i="5"/>
  <c r="L620" i="5"/>
  <c r="L676" i="5"/>
  <c r="L715" i="5"/>
  <c r="L71" i="5"/>
  <c r="L128" i="5"/>
  <c r="L136" i="5"/>
  <c r="L178" i="5"/>
  <c r="L251" i="5"/>
  <c r="L265" i="5"/>
  <c r="L312" i="5"/>
  <c r="L375" i="5"/>
  <c r="L394" i="5"/>
  <c r="L440" i="5"/>
  <c r="L471" i="5"/>
  <c r="L549" i="5"/>
  <c r="L588" i="5"/>
  <c r="L626" i="5"/>
  <c r="L652" i="5"/>
  <c r="L702" i="5"/>
  <c r="L79" i="5"/>
  <c r="L94" i="5"/>
  <c r="L170" i="5"/>
  <c r="L209" i="5"/>
  <c r="L219" i="5"/>
  <c r="L295" i="5"/>
  <c r="L313" i="5"/>
  <c r="L383" i="5"/>
  <c r="L385" i="5"/>
  <c r="L460" i="5"/>
  <c r="L480" i="5"/>
  <c r="L524" i="5"/>
  <c r="L554" i="5"/>
  <c r="L603" i="5"/>
  <c r="L639" i="5"/>
  <c r="L699" i="5"/>
  <c r="L67" i="5"/>
  <c r="L97" i="5"/>
  <c r="L155" i="5"/>
  <c r="L193" i="5"/>
  <c r="L225" i="5"/>
  <c r="L291" i="5"/>
  <c r="L321" i="5"/>
  <c r="L379" i="5"/>
  <c r="L409" i="5"/>
  <c r="L465" i="5"/>
  <c r="L497" i="5"/>
  <c r="L522" i="5"/>
  <c r="L573" i="5"/>
  <c r="L624" i="5"/>
  <c r="L643" i="5"/>
  <c r="L716" i="5"/>
  <c r="L87" i="5"/>
  <c r="L110" i="5"/>
  <c r="L142" i="5"/>
  <c r="L184" i="5"/>
  <c r="L233" i="5"/>
  <c r="L288" i="5"/>
  <c r="L308" i="5"/>
  <c r="L380" i="5"/>
  <c r="L387" i="5"/>
  <c r="L466" i="5"/>
  <c r="L501" i="5"/>
  <c r="L543" i="5"/>
  <c r="L589" i="5"/>
  <c r="L609" i="5"/>
  <c r="L661" i="5"/>
  <c r="L700" i="5"/>
  <c r="L63" i="5"/>
  <c r="L129" i="5"/>
  <c r="L150" i="5"/>
  <c r="L185" i="5"/>
  <c r="L252" i="5"/>
  <c r="L297" i="5"/>
  <c r="L309" i="5"/>
  <c r="L363" i="5"/>
  <c r="L410" i="5"/>
  <c r="L448" i="5"/>
  <c r="L489" i="5"/>
  <c r="L532" i="5"/>
  <c r="L556" i="5"/>
  <c r="L631" i="5"/>
  <c r="L662" i="5"/>
  <c r="L706" i="5"/>
  <c r="L58" i="5"/>
  <c r="L98" i="5"/>
  <c r="L156" i="5"/>
  <c r="L179" i="5"/>
  <c r="L239" i="5"/>
  <c r="L289" i="5"/>
  <c r="L315" i="5"/>
  <c r="L344" i="5"/>
  <c r="L423" i="5"/>
  <c r="L436" i="5"/>
  <c r="L502" i="5"/>
  <c r="L550" i="5"/>
  <c r="L574" i="5"/>
  <c r="L596" i="5"/>
  <c r="L648" i="5"/>
  <c r="L703" i="5"/>
  <c r="L54" i="5"/>
  <c r="L119" i="5"/>
  <c r="L157" i="5"/>
  <c r="L175" i="5"/>
  <c r="L253" i="5"/>
  <c r="L296" i="5"/>
  <c r="L322" i="5"/>
  <c r="L345" i="5"/>
  <c r="L415" i="5"/>
  <c r="L457" i="5"/>
  <c r="L481" i="5"/>
  <c r="L514" i="5"/>
  <c r="L560" i="5"/>
  <c r="L610" i="5"/>
  <c r="L644" i="5"/>
  <c r="L682" i="5"/>
  <c r="L76" i="5"/>
  <c r="L122" i="5"/>
  <c r="L166" i="5"/>
  <c r="L215" i="5"/>
  <c r="L254" i="5"/>
  <c r="L298" i="5"/>
  <c r="L326" i="5"/>
  <c r="L364" i="5"/>
  <c r="L411" i="5"/>
  <c r="L449" i="5"/>
  <c r="L488" i="5"/>
  <c r="L521" i="5"/>
  <c r="L591" i="5"/>
  <c r="L606" i="5"/>
  <c r="L649" i="5"/>
  <c r="L708" i="5"/>
  <c r="L52" i="5"/>
  <c r="L99" i="5"/>
  <c r="L137" i="5"/>
  <c r="L199" i="5"/>
  <c r="L256" i="5"/>
  <c r="L269" i="5"/>
  <c r="L302" i="5"/>
  <c r="L372" i="5"/>
  <c r="L406" i="5"/>
  <c r="L450" i="5"/>
  <c r="L472" i="5"/>
  <c r="L519" i="5"/>
  <c r="L570" i="5"/>
  <c r="L634" i="5"/>
  <c r="L671" i="5"/>
  <c r="L717" i="5"/>
  <c r="L82" i="5"/>
  <c r="L111" i="5"/>
  <c r="L171" i="5"/>
  <c r="L186" i="5"/>
  <c r="L240" i="5"/>
  <c r="L270" i="5"/>
  <c r="L335" i="5"/>
  <c r="L350" i="5"/>
  <c r="L395" i="5"/>
  <c r="L464" i="5"/>
  <c r="L493" i="5"/>
  <c r="L533" i="5"/>
  <c r="L575" i="5"/>
  <c r="L611" i="5"/>
  <c r="L657" i="5"/>
  <c r="L686" i="5"/>
  <c r="L72" i="5"/>
  <c r="L123" i="5"/>
  <c r="L167" i="5"/>
  <c r="L216" i="5"/>
  <c r="L234" i="5"/>
  <c r="L283" i="5"/>
  <c r="L331" i="5"/>
  <c r="L353" i="5"/>
  <c r="L397" i="5"/>
  <c r="L445" i="5"/>
  <c r="L490" i="5"/>
  <c r="L544" i="5"/>
  <c r="L582" i="5"/>
  <c r="L607" i="5"/>
  <c r="L653" i="5"/>
  <c r="L692" i="5"/>
  <c r="L83" i="5"/>
  <c r="L112" i="5"/>
  <c r="L158" i="5"/>
  <c r="L180" i="5"/>
  <c r="L257" i="5"/>
  <c r="L285" i="5"/>
  <c r="L305" i="5"/>
  <c r="L376" i="5"/>
  <c r="L396" i="5"/>
  <c r="L446" i="5"/>
  <c r="L498" i="5"/>
  <c r="L515" i="5"/>
  <c r="L592" i="5"/>
  <c r="L635" i="5"/>
  <c r="L663" i="5"/>
  <c r="L704" i="5"/>
  <c r="L77" i="5"/>
  <c r="L126" i="5"/>
  <c r="L168" i="5"/>
  <c r="L190" i="5"/>
  <c r="L230" i="5"/>
  <c r="L284" i="5"/>
  <c r="L310" i="5"/>
  <c r="L351" i="5"/>
  <c r="L388" i="5"/>
  <c r="L451" i="5"/>
  <c r="L510" i="5"/>
  <c r="L545" i="5"/>
  <c r="L568" i="5"/>
  <c r="L604" i="5"/>
  <c r="L658" i="5"/>
  <c r="L709" i="5"/>
  <c r="L69" i="5"/>
  <c r="L114" i="5"/>
  <c r="L143" i="5"/>
  <c r="L200" i="5"/>
  <c r="L250" i="5"/>
  <c r="L271" i="5"/>
  <c r="L314" i="5"/>
  <c r="L367" i="5"/>
  <c r="L386" i="5"/>
  <c r="L428" i="5"/>
  <c r="L507" i="5"/>
  <c r="L551" i="5"/>
  <c r="L593" i="5"/>
  <c r="L605" i="5"/>
  <c r="L641" i="5"/>
  <c r="L718" i="5"/>
  <c r="L78" i="5"/>
  <c r="L127" i="5"/>
  <c r="L151" i="5"/>
  <c r="L194" i="5"/>
  <c r="L223" i="5"/>
  <c r="L292" i="5"/>
  <c r="L332" i="5"/>
  <c r="L365" i="5"/>
  <c r="L407" i="5"/>
  <c r="L467" i="5"/>
  <c r="L473" i="5"/>
  <c r="L528" i="5"/>
  <c r="L555" i="5"/>
  <c r="L632" i="5"/>
  <c r="L654" i="5"/>
  <c r="L683" i="5"/>
  <c r="L59" i="5"/>
  <c r="L103" i="5"/>
  <c r="L145" i="5"/>
  <c r="L204" i="5"/>
  <c r="L220" i="5"/>
  <c r="L290" i="5"/>
  <c r="L339" i="5"/>
  <c r="L348" i="5"/>
  <c r="L420" i="5"/>
  <c r="L429" i="5"/>
  <c r="L477" i="5"/>
  <c r="L546" i="5"/>
  <c r="L576" i="5"/>
  <c r="L601" i="5"/>
  <c r="L655" i="5"/>
  <c r="L687" i="5"/>
  <c r="L51" i="5"/>
  <c r="L124" i="5"/>
  <c r="L172" i="5"/>
  <c r="L207" i="5"/>
  <c r="L221" i="5"/>
  <c r="L293" i="5"/>
  <c r="L340" i="5"/>
  <c r="L368" i="5"/>
  <c r="L401" i="5"/>
  <c r="L432" i="5"/>
  <c r="L478" i="5"/>
  <c r="L516" i="5"/>
  <c r="L590" i="5"/>
  <c r="L602" i="5"/>
  <c r="L666" i="5"/>
  <c r="L684" i="5"/>
  <c r="L84" i="5"/>
  <c r="L120" i="5"/>
  <c r="L133" i="5"/>
  <c r="L211" i="5"/>
  <c r="L241" i="5"/>
  <c r="L299" i="5"/>
  <c r="L303" i="5"/>
  <c r="L359" i="5"/>
  <c r="L389" i="5"/>
  <c r="L433" i="5"/>
  <c r="L511" i="5"/>
  <c r="L552" i="5"/>
  <c r="L561" i="5"/>
  <c r="L633" i="5"/>
  <c r="L669" i="5"/>
  <c r="L710" i="5"/>
  <c r="L70" i="5"/>
  <c r="L100" i="5"/>
  <c r="L139" i="5"/>
  <c r="L212" i="5"/>
  <c r="L224" i="5"/>
  <c r="L272" i="5"/>
  <c r="L336" i="5"/>
  <c r="L373" i="5"/>
  <c r="L398" i="5"/>
  <c r="L430" i="5"/>
  <c r="L499" i="5"/>
  <c r="L534" i="5"/>
  <c r="L557" i="5"/>
  <c r="L627" i="5"/>
  <c r="L674" i="5"/>
  <c r="L719" i="5"/>
  <c r="L73" i="5"/>
  <c r="L130" i="5"/>
  <c r="L173" i="5"/>
  <c r="L213" i="5"/>
  <c r="L242" i="5"/>
  <c r="L259" i="5"/>
  <c r="L304" i="5"/>
  <c r="L374" i="5"/>
  <c r="L404" i="5"/>
  <c r="L461" i="5"/>
  <c r="L506" i="5"/>
  <c r="L539" i="5"/>
  <c r="L558" i="5"/>
  <c r="L628" i="5"/>
  <c r="L664" i="5"/>
  <c r="L693" i="5"/>
  <c r="L90" i="5"/>
  <c r="L105" i="5"/>
  <c r="L140" i="5"/>
  <c r="L202" i="5"/>
  <c r="L243" i="5"/>
  <c r="L300" i="5"/>
  <c r="L329" i="5"/>
  <c r="L362" i="5"/>
  <c r="L421" i="5"/>
  <c r="L434" i="5"/>
  <c r="L482" i="5"/>
  <c r="L547" i="5"/>
  <c r="L571" i="5"/>
  <c r="L629" i="5"/>
  <c r="L665" i="5"/>
  <c r="L720" i="5"/>
  <c r="L55" i="5"/>
  <c r="L95" i="5"/>
  <c r="L153" i="5"/>
  <c r="L214" i="5"/>
  <c r="L229" i="5"/>
  <c r="L274" i="5"/>
  <c r="L323" i="5"/>
  <c r="L377" i="5"/>
  <c r="L424" i="5"/>
  <c r="L452" i="5"/>
  <c r="L483" i="5"/>
  <c r="L525" i="5"/>
  <c r="L579" i="5"/>
  <c r="L613" i="5"/>
  <c r="L646" i="5"/>
  <c r="L696" i="5"/>
  <c r="L64" i="5"/>
  <c r="L106" i="5"/>
  <c r="L174" i="5"/>
  <c r="L177" i="5"/>
  <c r="L247" i="5"/>
  <c r="L286" i="5"/>
  <c r="L316" i="5"/>
  <c r="L366" i="5"/>
  <c r="L391" i="5"/>
  <c r="L431" i="5"/>
  <c r="L474" i="5"/>
  <c r="L548" i="5"/>
  <c r="L586" i="5"/>
  <c r="L614" i="5"/>
  <c r="L677" i="5"/>
  <c r="L697" i="5"/>
  <c r="L80" i="5"/>
  <c r="L92" i="5"/>
  <c r="L138" i="5"/>
  <c r="L191" i="5"/>
  <c r="L244" i="5"/>
  <c r="L262" i="5"/>
  <c r="L327" i="5"/>
  <c r="L352" i="5"/>
  <c r="L399" i="5"/>
  <c r="L468" i="5"/>
  <c r="L505" i="5"/>
  <c r="L526" i="5"/>
  <c r="L577" i="5"/>
  <c r="L636" i="5"/>
  <c r="L678" i="5"/>
  <c r="L688" i="5"/>
  <c r="L60" i="5"/>
  <c r="L117" i="5"/>
  <c r="L163" i="5"/>
  <c r="L181" i="5"/>
  <c r="L235" i="5"/>
  <c r="L277" i="5"/>
  <c r="L328" i="5"/>
  <c r="L371" i="5"/>
  <c r="L392" i="5"/>
  <c r="L437" i="5"/>
  <c r="L484" i="5"/>
  <c r="L535" i="5"/>
  <c r="L566" i="5"/>
  <c r="L625" i="5"/>
  <c r="L667" i="5"/>
  <c r="L711" i="5"/>
  <c r="L68" i="5"/>
  <c r="L107" i="5"/>
  <c r="L152" i="5"/>
  <c r="L176" i="5"/>
  <c r="L222" i="5"/>
  <c r="L294" i="5"/>
  <c r="L341" i="5"/>
  <c r="L360" i="5"/>
  <c r="L402" i="5"/>
  <c r="L438" i="5"/>
  <c r="L485" i="5"/>
  <c r="L518" i="5"/>
  <c r="L587" i="5"/>
  <c r="L630" i="5"/>
  <c r="L640" i="5"/>
  <c r="L707" i="5"/>
  <c r="L56" i="5"/>
  <c r="L108" i="5"/>
  <c r="L134" i="5"/>
  <c r="L196" i="5"/>
  <c r="L258" i="5"/>
  <c r="L263" i="5"/>
  <c r="L317" i="5"/>
  <c r="L346" i="5"/>
  <c r="L422" i="5"/>
  <c r="L463" i="5"/>
  <c r="L508" i="5"/>
  <c r="L520" i="5"/>
  <c r="L594" i="5"/>
  <c r="L612" i="5"/>
  <c r="L647" i="5"/>
  <c r="L689" i="5"/>
  <c r="L53" i="5"/>
  <c r="L101" i="5"/>
  <c r="L161" i="5"/>
  <c r="L192" i="5"/>
  <c r="L248" i="5"/>
  <c r="L278" i="5"/>
  <c r="L318" i="5"/>
  <c r="L355" i="5"/>
  <c r="L412" i="5"/>
  <c r="L455" i="5"/>
  <c r="L503" i="5"/>
  <c r="L527" i="5"/>
  <c r="L559" i="5"/>
  <c r="L597" i="5"/>
  <c r="L670" i="5"/>
  <c r="L698" i="5"/>
  <c r="L61" i="5"/>
  <c r="L115" i="5"/>
  <c r="L159" i="5"/>
  <c r="L195" i="5"/>
  <c r="L255" i="5"/>
  <c r="L279" i="5"/>
  <c r="L319" i="5"/>
  <c r="L356" i="5"/>
  <c r="L425" i="5"/>
  <c r="L462" i="5"/>
  <c r="L491" i="5"/>
  <c r="L529" i="5"/>
  <c r="L572" i="5"/>
  <c r="L621" i="5"/>
  <c r="L650" i="5"/>
  <c r="L721" i="5"/>
  <c r="L74" i="5"/>
  <c r="L118" i="5"/>
  <c r="L144" i="5"/>
  <c r="L205" i="5"/>
  <c r="L231" i="5"/>
  <c r="L275" i="5"/>
  <c r="L333" i="5"/>
  <c r="L369" i="5"/>
  <c r="L416" i="5"/>
  <c r="L458" i="5"/>
  <c r="L492" i="5"/>
  <c r="L530" i="5"/>
  <c r="L567" i="5"/>
  <c r="L598" i="5"/>
  <c r="L675" i="5"/>
  <c r="L705" i="5"/>
  <c r="L85" i="5"/>
  <c r="L131" i="5"/>
  <c r="L135" i="5"/>
  <c r="L203" i="5"/>
  <c r="L227" i="5"/>
  <c r="L280" i="5"/>
  <c r="L324" i="5"/>
  <c r="L384" i="5"/>
  <c r="L426" i="5"/>
  <c r="L469" i="5"/>
  <c r="L509" i="5"/>
  <c r="L553" i="5"/>
  <c r="L562" i="5"/>
  <c r="L599" i="5"/>
  <c r="L645" i="5"/>
  <c r="L690" i="5"/>
  <c r="L65" i="5"/>
  <c r="L132" i="5"/>
  <c r="L147" i="5"/>
  <c r="L187" i="5"/>
  <c r="L236" i="5"/>
  <c r="L276" i="5"/>
  <c r="L330" i="5"/>
  <c r="L349" i="5"/>
  <c r="L418" i="5"/>
  <c r="L441" i="5"/>
  <c r="L495" i="5"/>
  <c r="L531" i="5"/>
  <c r="L580" i="5"/>
  <c r="L622" i="5"/>
  <c r="L668" i="5"/>
  <c r="L694" i="5"/>
  <c r="L86" i="5"/>
  <c r="L96" i="5"/>
  <c r="L154" i="5"/>
  <c r="L201" i="5"/>
  <c r="L249" i="5"/>
  <c r="L266" i="5"/>
  <c r="L320" i="5"/>
  <c r="L378" i="5"/>
  <c r="L403" i="5"/>
  <c r="L442" i="5"/>
  <c r="L494" i="5"/>
  <c r="L523" i="5"/>
  <c r="L563" i="5"/>
  <c r="L608" i="5"/>
  <c r="L672" i="5"/>
  <c r="L691" i="5"/>
  <c r="L62" i="5"/>
  <c r="L121" i="5"/>
  <c r="L141" i="5"/>
  <c r="L197" i="5"/>
  <c r="L228" i="5"/>
  <c r="L273" i="5"/>
  <c r="L342" i="5"/>
  <c r="L347" i="5"/>
  <c r="L419" i="5"/>
  <c r="L459" i="5"/>
  <c r="L475" i="5"/>
  <c r="L540" i="5"/>
  <c r="L595" i="5"/>
  <c r="L637" i="5"/>
  <c r="L679" i="5"/>
  <c r="L712" i="5"/>
  <c r="L88" i="5"/>
  <c r="L113" i="5"/>
  <c r="L148" i="5"/>
  <c r="L208" i="5"/>
  <c r="L245" i="5"/>
  <c r="L287" i="5"/>
  <c r="L325" i="5"/>
  <c r="L370" i="5"/>
  <c r="L390" i="5"/>
  <c r="L453" i="5"/>
  <c r="L500" i="5"/>
  <c r="L517" i="5"/>
  <c r="L569" i="5"/>
  <c r="L615" i="5"/>
  <c r="L659" i="5"/>
  <c r="L701" i="5"/>
  <c r="L69" i="7"/>
  <c r="L4" i="7"/>
  <c r="L3" i="7"/>
  <c r="L71" i="7"/>
  <c r="L7" i="7"/>
  <c r="L5" i="7"/>
  <c r="L72" i="7"/>
  <c r="L10" i="7"/>
  <c r="L6" i="7"/>
  <c r="L74" i="7"/>
  <c r="L28" i="7"/>
  <c r="L8" i="7"/>
  <c r="L98" i="7"/>
  <c r="L16" i="7"/>
  <c r="L54" i="7"/>
  <c r="L77" i="7"/>
  <c r="L19" i="7"/>
  <c r="L11" i="7"/>
  <c r="L78" i="7"/>
  <c r="L22" i="7"/>
  <c r="L12" i="7"/>
  <c r="L80" i="7"/>
  <c r="L25" i="7"/>
  <c r="L14" i="7"/>
  <c r="L81" i="7"/>
  <c r="L2" i="7"/>
  <c r="L15" i="7"/>
  <c r="L103" i="7"/>
  <c r="L31" i="7"/>
  <c r="L58" i="7"/>
  <c r="L84" i="7"/>
  <c r="L34" i="7"/>
  <c r="L18" i="7"/>
  <c r="L86" i="7"/>
  <c r="L37" i="7"/>
  <c r="L20" i="7"/>
  <c r="L87" i="7"/>
  <c r="L40" i="7"/>
  <c r="L21" i="7"/>
  <c r="L89" i="7"/>
  <c r="L9" i="7"/>
  <c r="L23" i="7"/>
  <c r="L105" i="7"/>
  <c r="L46" i="7"/>
  <c r="L62" i="7"/>
  <c r="L92" i="7"/>
  <c r="L49" i="7"/>
  <c r="L26" i="7"/>
  <c r="L93" i="7"/>
  <c r="L52" i="7"/>
  <c r="L27" i="7"/>
  <c r="L95" i="7"/>
  <c r="L55" i="7"/>
  <c r="L29" i="7"/>
  <c r="L96" i="7"/>
  <c r="L13" i="7"/>
  <c r="L30" i="7"/>
  <c r="L113" i="7"/>
  <c r="L61" i="7"/>
  <c r="L73" i="7"/>
  <c r="L99" i="7"/>
  <c r="L64" i="7"/>
  <c r="L33" i="7"/>
  <c r="L101" i="7"/>
  <c r="L67" i="7"/>
  <c r="L35" i="7"/>
  <c r="L102" i="7"/>
  <c r="L70" i="7"/>
  <c r="L36" i="7"/>
  <c r="L104" i="7"/>
  <c r="L32" i="7"/>
  <c r="L38" i="7"/>
  <c r="L118" i="7"/>
  <c r="L76" i="7"/>
  <c r="L75" i="7"/>
  <c r="L107" i="7"/>
  <c r="L79" i="7"/>
  <c r="L41" i="7"/>
  <c r="L108" i="7"/>
  <c r="L82" i="7"/>
  <c r="L42" i="7"/>
  <c r="L110" i="7"/>
  <c r="L85" i="7"/>
  <c r="L44" i="7"/>
  <c r="L111" i="7"/>
  <c r="L17" i="7"/>
  <c r="L45" i="7"/>
  <c r="L120" i="7"/>
  <c r="L91" i="7"/>
  <c r="L83" i="7"/>
  <c r="L114" i="7"/>
  <c r="L94" i="7"/>
  <c r="L48" i="7"/>
  <c r="L116" i="7"/>
  <c r="L97" i="7"/>
  <c r="L50" i="7"/>
  <c r="L117" i="7"/>
  <c r="L100" i="7"/>
  <c r="L51" i="7"/>
  <c r="L119" i="7"/>
  <c r="L39" i="7"/>
  <c r="L53" i="7"/>
  <c r="L128" i="7"/>
  <c r="L106" i="7"/>
  <c r="L88" i="7"/>
  <c r="L122" i="7"/>
  <c r="L109" i="7"/>
  <c r="L56" i="7"/>
  <c r="L123" i="7"/>
  <c r="L112" i="7"/>
  <c r="L57" i="7"/>
  <c r="L125" i="7"/>
  <c r="L115" i="7"/>
  <c r="L59" i="7"/>
  <c r="L126" i="7"/>
  <c r="L24" i="7"/>
  <c r="L60" i="7"/>
  <c r="L133" i="7"/>
  <c r="L121" i="7"/>
  <c r="L90" i="7"/>
  <c r="L129" i="7"/>
  <c r="L124" i="7"/>
  <c r="L63" i="7"/>
  <c r="L131" i="7"/>
  <c r="L127" i="7"/>
  <c r="L65" i="7"/>
  <c r="L132" i="7"/>
  <c r="L130" i="7"/>
  <c r="L66" i="7"/>
  <c r="L134" i="7"/>
  <c r="L43" i="7"/>
  <c r="L68" i="7"/>
  <c r="L135" i="7"/>
  <c r="L136" i="7"/>
  <c r="L47" i="7"/>
  <c r="G2" i="4"/>
  <c r="O47" i="7"/>
  <c r="D2" i="4" s="1"/>
  <c r="N47" i="7"/>
  <c r="I47" i="7"/>
  <c r="I69" i="7"/>
  <c r="I4" i="7"/>
  <c r="I3" i="7"/>
  <c r="I71" i="7"/>
  <c r="I7" i="7"/>
  <c r="I5" i="7"/>
  <c r="I72" i="7"/>
  <c r="I10" i="7"/>
  <c r="I6" i="7"/>
  <c r="I74" i="7"/>
  <c r="I28" i="7"/>
  <c r="I8" i="7"/>
  <c r="I98" i="7"/>
  <c r="I16" i="7"/>
  <c r="I54" i="7"/>
  <c r="I77" i="7"/>
  <c r="I19" i="7"/>
  <c r="I11" i="7"/>
  <c r="I78" i="7"/>
  <c r="I22" i="7"/>
  <c r="I12" i="7"/>
  <c r="I80" i="7"/>
  <c r="I25" i="7"/>
  <c r="I14" i="7"/>
  <c r="I81" i="7"/>
  <c r="I2" i="7"/>
  <c r="I15" i="7"/>
  <c r="I103" i="7"/>
  <c r="I31" i="7"/>
  <c r="I58" i="7"/>
  <c r="I84" i="7"/>
  <c r="I34" i="7"/>
  <c r="I18" i="7"/>
  <c r="I86" i="7"/>
  <c r="I37" i="7"/>
  <c r="I20" i="7"/>
  <c r="I87" i="7"/>
  <c r="I40" i="7"/>
  <c r="I21" i="7"/>
  <c r="I89" i="7"/>
  <c r="I9" i="7"/>
  <c r="I23" i="7"/>
  <c r="I105" i="7"/>
  <c r="I46" i="7"/>
  <c r="I62" i="7"/>
  <c r="I92" i="7"/>
  <c r="I49" i="7"/>
  <c r="I26" i="7"/>
  <c r="I93" i="7"/>
  <c r="I52" i="7"/>
  <c r="I27" i="7"/>
  <c r="I95" i="7"/>
  <c r="I55" i="7"/>
  <c r="I29" i="7"/>
  <c r="I96" i="7"/>
  <c r="I13" i="7"/>
  <c r="I30" i="7"/>
  <c r="I113" i="7"/>
  <c r="I61" i="7"/>
  <c r="I73" i="7"/>
  <c r="I99" i="7"/>
  <c r="I64" i="7"/>
  <c r="I33" i="7"/>
  <c r="I101" i="7"/>
  <c r="I67" i="7"/>
  <c r="I35" i="7"/>
  <c r="I102" i="7"/>
  <c r="I70" i="7"/>
  <c r="I36" i="7"/>
  <c r="I104" i="7"/>
  <c r="I32" i="7"/>
  <c r="I38" i="7"/>
  <c r="I118" i="7"/>
  <c r="I76" i="7"/>
  <c r="I75" i="7"/>
  <c r="I107" i="7"/>
  <c r="I79" i="7"/>
  <c r="I41" i="7"/>
  <c r="I108" i="7"/>
  <c r="I82" i="7"/>
  <c r="I42" i="7"/>
  <c r="I110" i="7"/>
  <c r="I85" i="7"/>
  <c r="I44" i="7"/>
  <c r="I111" i="7"/>
  <c r="I17" i="7"/>
  <c r="I45" i="7"/>
  <c r="I120" i="7"/>
  <c r="I91" i="7"/>
  <c r="I83" i="7"/>
  <c r="I114" i="7"/>
  <c r="I94" i="7"/>
  <c r="I48" i="7"/>
  <c r="I116" i="7"/>
  <c r="I97" i="7"/>
  <c r="I50" i="7"/>
  <c r="I117" i="7"/>
  <c r="I100" i="7"/>
  <c r="I51" i="7"/>
  <c r="I119" i="7"/>
  <c r="I39" i="7"/>
  <c r="I53" i="7"/>
  <c r="I128" i="7"/>
  <c r="I106" i="7"/>
  <c r="I88" i="7"/>
  <c r="I122" i="7"/>
  <c r="I109" i="7"/>
  <c r="I56" i="7"/>
  <c r="I123" i="7"/>
  <c r="I112" i="7"/>
  <c r="I57" i="7"/>
  <c r="I125" i="7"/>
  <c r="I115" i="7"/>
  <c r="I59" i="7"/>
  <c r="I126" i="7"/>
  <c r="I24" i="7"/>
  <c r="I60" i="7"/>
  <c r="I133" i="7"/>
  <c r="I121" i="7"/>
  <c r="I90" i="7"/>
  <c r="I129" i="7"/>
  <c r="I124" i="7"/>
  <c r="I63" i="7"/>
  <c r="I131" i="7"/>
  <c r="I127" i="7"/>
  <c r="I65" i="7"/>
  <c r="I132" i="7"/>
  <c r="I130" i="7"/>
  <c r="I66" i="7"/>
  <c r="I134" i="7"/>
  <c r="I43" i="7"/>
  <c r="I68" i="7"/>
  <c r="I135" i="7"/>
  <c r="I136" i="7"/>
  <c r="F42" i="3"/>
  <c r="P42" i="3" s="1"/>
  <c r="F43" i="3"/>
  <c r="P43" i="3" s="1"/>
  <c r="F16" i="3"/>
  <c r="P16" i="3" s="1"/>
  <c r="F25" i="3"/>
  <c r="P25" i="3" s="1"/>
  <c r="F29" i="3"/>
  <c r="P29" i="3" s="1"/>
  <c r="F28" i="3"/>
  <c r="P28" i="3" s="1"/>
  <c r="F3" i="3"/>
  <c r="P3" i="3" s="1"/>
  <c r="F5" i="3"/>
  <c r="P5" i="3" s="1"/>
  <c r="F7" i="3"/>
  <c r="P7" i="3" s="1"/>
  <c r="F23" i="3"/>
  <c r="P23" i="3" s="1"/>
  <c r="F36" i="3"/>
  <c r="P36" i="3" s="1"/>
  <c r="F40" i="3"/>
  <c r="P40" i="3" s="1"/>
  <c r="F11" i="3"/>
  <c r="P11" i="3" s="1"/>
  <c r="F30" i="3"/>
  <c r="P30" i="3" s="1"/>
  <c r="F2" i="3"/>
  <c r="P2" i="3" s="1"/>
  <c r="F21" i="3"/>
  <c r="P21" i="3" s="1"/>
  <c r="F26" i="3"/>
  <c r="P26" i="3" s="1"/>
  <c r="F44" i="3"/>
  <c r="P44" i="3" s="1"/>
  <c r="F6" i="3"/>
  <c r="P6" i="3" s="1"/>
  <c r="F19" i="3"/>
  <c r="P19" i="3" s="1"/>
  <c r="F45" i="3"/>
  <c r="P45" i="3" s="1"/>
  <c r="F27" i="3"/>
  <c r="P27" i="3" s="1"/>
  <c r="F35" i="3"/>
  <c r="P35" i="3" s="1"/>
  <c r="F38" i="3"/>
  <c r="P38" i="3" s="1"/>
  <c r="F9" i="3"/>
  <c r="P9" i="3" s="1"/>
  <c r="F37" i="3"/>
  <c r="P37" i="3" s="1"/>
  <c r="F4" i="3"/>
  <c r="P4" i="3" s="1"/>
  <c r="F10" i="3"/>
  <c r="P10" i="3" s="1"/>
  <c r="F22" i="3"/>
  <c r="P22" i="3" s="1"/>
  <c r="F20" i="3"/>
  <c r="P20" i="3" s="1"/>
  <c r="F14" i="3"/>
  <c r="P14" i="3" s="1"/>
  <c r="F18" i="3"/>
  <c r="P18" i="3" s="1"/>
  <c r="F13" i="3"/>
  <c r="P13" i="3" s="1"/>
  <c r="F46" i="3"/>
  <c r="P46" i="3" s="1"/>
  <c r="F34" i="3"/>
  <c r="P34" i="3" s="1"/>
  <c r="F31" i="3"/>
  <c r="P31" i="3" s="1"/>
  <c r="F39" i="3"/>
  <c r="P39" i="3" s="1"/>
  <c r="F32" i="3"/>
  <c r="P32" i="3" s="1"/>
  <c r="F15" i="3"/>
  <c r="P15" i="3" s="1"/>
  <c r="F24" i="3"/>
  <c r="P24" i="3" s="1"/>
  <c r="F41" i="3"/>
  <c r="P41" i="3" s="1"/>
  <c r="F17" i="3"/>
  <c r="P17" i="3" s="1"/>
  <c r="F33" i="3"/>
  <c r="P33" i="3" s="1"/>
  <c r="F12" i="3"/>
  <c r="P12" i="3" s="1"/>
  <c r="F8" i="3"/>
  <c r="P8" i="3" s="1"/>
  <c r="G7" i="2" l="1"/>
  <c r="I4" i="2"/>
  <c r="G4" i="2"/>
  <c r="A8" i="8" a="1"/>
  <c r="A8" i="8" s="1"/>
  <c r="A5" i="4" a="1"/>
  <c r="A5" i="4" s="1"/>
  <c r="A6" i="4" s="1" a="1"/>
  <c r="A6" i="4" s="1"/>
  <c r="K10" i="3"/>
  <c r="K19" i="3"/>
  <c r="K5" i="3"/>
  <c r="K33" i="3"/>
  <c r="K41" i="3"/>
  <c r="K39" i="3"/>
  <c r="K22" i="3"/>
  <c r="K9" i="3"/>
  <c r="K45" i="3"/>
  <c r="K35" i="3"/>
  <c r="K26" i="3"/>
  <c r="K2" i="3"/>
  <c r="K7" i="3"/>
  <c r="K42" i="3"/>
  <c r="K17" i="3"/>
  <c r="K20" i="3"/>
  <c r="K37" i="3"/>
  <c r="K27" i="3"/>
  <c r="K30" i="3"/>
  <c r="K28" i="3"/>
  <c r="K43" i="3"/>
  <c r="K8" i="3"/>
  <c r="K46" i="3"/>
  <c r="K15" i="3"/>
  <c r="K34" i="3"/>
  <c r="K13" i="3"/>
  <c r="K14" i="3"/>
  <c r="K4" i="3"/>
  <c r="G2" i="3" s="1"/>
  <c r="K6" i="3"/>
  <c r="K11" i="3"/>
  <c r="K36" i="3"/>
  <c r="K3" i="3"/>
  <c r="K29" i="3"/>
  <c r="K16" i="3"/>
  <c r="K12" i="3"/>
  <c r="K24" i="3"/>
  <c r="K32" i="3"/>
  <c r="K31" i="3"/>
  <c r="K18" i="3"/>
  <c r="K38" i="3"/>
  <c r="K44" i="3"/>
  <c r="K21" i="3"/>
  <c r="K40" i="3"/>
  <c r="K23" i="3"/>
  <c r="K25" i="3"/>
  <c r="E4" i="4"/>
  <c r="G4" i="4"/>
  <c r="I2" i="4"/>
  <c r="B54" i="8" s="1"/>
  <c r="I4" i="4"/>
  <c r="B56" i="8" s="1"/>
  <c r="I3" i="4"/>
  <c r="B55" i="8" s="1"/>
  <c r="F4" i="4"/>
  <c r="H4" i="4" s="1"/>
  <c r="J4" i="4" s="1"/>
  <c r="F3" i="4"/>
  <c r="H3" i="4" s="1"/>
  <c r="J3" i="4" s="1"/>
  <c r="F2" i="4"/>
  <c r="D3" i="4"/>
  <c r="D4" i="4"/>
  <c r="B4" i="4"/>
  <c r="A56" i="8" s="1"/>
  <c r="I32" i="6"/>
  <c r="B32" i="6"/>
  <c r="A55" i="8"/>
  <c r="A54" i="8"/>
  <c r="I16" i="6"/>
  <c r="B16" i="6"/>
  <c r="I31" i="6"/>
  <c r="B31" i="6"/>
  <c r="I21" i="6"/>
  <c r="B21" i="6"/>
  <c r="I28" i="6"/>
  <c r="B28" i="6"/>
  <c r="I26" i="6"/>
  <c r="B26" i="6"/>
  <c r="I15" i="6"/>
  <c r="B15" i="6"/>
  <c r="I14" i="6"/>
  <c r="B14" i="6"/>
  <c r="I5" i="6"/>
  <c r="B5" i="6"/>
  <c r="I20" i="6"/>
  <c r="B20" i="6"/>
  <c r="I30" i="6"/>
  <c r="B30" i="6"/>
  <c r="I25" i="6"/>
  <c r="B25" i="6"/>
  <c r="I13" i="6"/>
  <c r="B13" i="6"/>
  <c r="I12" i="6"/>
  <c r="B12" i="6"/>
  <c r="I4" i="6"/>
  <c r="B4" i="6"/>
  <c r="I19" i="6"/>
  <c r="B19" i="6"/>
  <c r="I29" i="6"/>
  <c r="B29" i="6"/>
  <c r="I24" i="6"/>
  <c r="B24" i="6"/>
  <c r="I11" i="6"/>
  <c r="B11" i="6"/>
  <c r="I10" i="6"/>
  <c r="B10" i="6"/>
  <c r="I3" i="6"/>
  <c r="B3" i="6"/>
  <c r="I18" i="6"/>
  <c r="B18" i="6"/>
  <c r="I9" i="6"/>
  <c r="B9" i="6"/>
  <c r="I23" i="6"/>
  <c r="B23" i="6"/>
  <c r="I8" i="6"/>
  <c r="B8" i="6"/>
  <c r="I6" i="6"/>
  <c r="B6" i="6"/>
  <c r="I2" i="6"/>
  <c r="B2" i="6"/>
  <c r="I17" i="6"/>
  <c r="B17" i="6"/>
  <c r="I27" i="6"/>
  <c r="B27" i="6"/>
  <c r="I22" i="6"/>
  <c r="B22" i="6"/>
  <c r="I7" i="6"/>
  <c r="B7" i="6"/>
  <c r="O12" i="3"/>
  <c r="O33" i="3"/>
  <c r="O17" i="3"/>
  <c r="O41" i="3"/>
  <c r="O24" i="3"/>
  <c r="O15" i="3"/>
  <c r="O32" i="3"/>
  <c r="O39" i="3"/>
  <c r="O31" i="3"/>
  <c r="O34" i="3"/>
  <c r="O46" i="3"/>
  <c r="O13" i="3"/>
  <c r="O18" i="3"/>
  <c r="O14" i="3"/>
  <c r="O20" i="3"/>
  <c r="O22" i="3"/>
  <c r="O10" i="3"/>
  <c r="O4" i="3"/>
  <c r="O37" i="3"/>
  <c r="O9" i="3"/>
  <c r="O38" i="3"/>
  <c r="O35" i="3"/>
  <c r="O27" i="3"/>
  <c r="O45" i="3"/>
  <c r="O19" i="3"/>
  <c r="O6" i="3"/>
  <c r="O44" i="3"/>
  <c r="O26" i="3"/>
  <c r="O21" i="3"/>
  <c r="O2" i="3"/>
  <c r="O30" i="3"/>
  <c r="O11" i="3"/>
  <c r="O40" i="3"/>
  <c r="O36" i="3"/>
  <c r="O23" i="3"/>
  <c r="O7" i="3"/>
  <c r="O5" i="3"/>
  <c r="O3" i="3"/>
  <c r="O28" i="3"/>
  <c r="O29" i="3"/>
  <c r="O25" i="3"/>
  <c r="O16" i="3"/>
  <c r="O43" i="3"/>
  <c r="O42" i="3"/>
  <c r="O8" i="3"/>
  <c r="B4" i="2" l="1"/>
  <c r="D4" i="2"/>
  <c r="A8" i="4" a="1"/>
  <c r="A8" i="4" s="1"/>
  <c r="B47" i="8"/>
  <c r="B49" i="8"/>
  <c r="B48" i="8"/>
  <c r="B50" i="8"/>
  <c r="B3" i="8"/>
  <c r="A9" i="8" a="1"/>
  <c r="A9" i="8" s="1"/>
  <c r="G5" i="4"/>
  <c r="F5" i="4"/>
  <c r="H44" i="3"/>
  <c r="M44" i="3"/>
  <c r="H43" i="3"/>
  <c r="M43" i="3"/>
  <c r="G21" i="3"/>
  <c r="T21" i="3" s="1"/>
  <c r="G36" i="3"/>
  <c r="G22" i="3"/>
  <c r="G13" i="3"/>
  <c r="G26" i="3"/>
  <c r="G18" i="3"/>
  <c r="G7" i="3"/>
  <c r="G31" i="3"/>
  <c r="G38" i="3"/>
  <c r="G16" i="3"/>
  <c r="G10" i="3"/>
  <c r="G34" i="3"/>
  <c r="G12" i="3"/>
  <c r="T46" i="3"/>
  <c r="G44" i="3"/>
  <c r="G28" i="3"/>
  <c r="G15" i="3"/>
  <c r="G24" i="3"/>
  <c r="G20" i="3"/>
  <c r="G3" i="3"/>
  <c r="G19" i="3"/>
  <c r="G29" i="3"/>
  <c r="G14" i="3"/>
  <c r="G9" i="3"/>
  <c r="G11" i="3"/>
  <c r="G6" i="3"/>
  <c r="G25" i="3"/>
  <c r="G40" i="3"/>
  <c r="G33" i="3"/>
  <c r="G37" i="3"/>
  <c r="G17" i="3"/>
  <c r="G23" i="3"/>
  <c r="G42" i="3"/>
  <c r="G30" i="3"/>
  <c r="G27" i="3"/>
  <c r="G4" i="3"/>
  <c r="G32" i="3"/>
  <c r="G41" i="3"/>
  <c r="G35" i="3"/>
  <c r="G5" i="3"/>
  <c r="G43" i="3"/>
  <c r="G39" i="3"/>
  <c r="G8" i="3"/>
  <c r="I5" i="4"/>
  <c r="B57" i="8" s="1"/>
  <c r="E5" i="4"/>
  <c r="D5" i="4"/>
  <c r="B5" i="4"/>
  <c r="A57" i="8" s="1"/>
  <c r="U27" i="3"/>
  <c r="V7" i="3"/>
  <c r="W7" i="3" s="1"/>
  <c r="U3" i="3"/>
  <c r="V29" i="3"/>
  <c r="W29" i="3" s="1"/>
  <c r="U20" i="3"/>
  <c r="U44" i="3"/>
  <c r="U43" i="3"/>
  <c r="U31" i="3"/>
  <c r="V16" i="3"/>
  <c r="W16" i="3" s="1"/>
  <c r="V26" i="3"/>
  <c r="W26" i="3" s="1"/>
  <c r="V13" i="3"/>
  <c r="W13" i="3" s="1"/>
  <c r="V46" i="3"/>
  <c r="W46" i="3" s="1"/>
  <c r="U23" i="3"/>
  <c r="V3" i="3"/>
  <c r="W3" i="3" s="1"/>
  <c r="V5" i="3"/>
  <c r="W5" i="3" s="1"/>
  <c r="V23" i="3"/>
  <c r="W23" i="3" s="1"/>
  <c r="U37" i="3"/>
  <c r="V18" i="3"/>
  <c r="W18" i="3" s="1"/>
  <c r="V42" i="3"/>
  <c r="W42" i="3" s="1"/>
  <c r="V14" i="3"/>
  <c r="W14" i="3" s="1"/>
  <c r="V20" i="3"/>
  <c r="W20" i="3" s="1"/>
  <c r="V9" i="3"/>
  <c r="W9" i="3" s="1"/>
  <c r="V25" i="3"/>
  <c r="W25" i="3" s="1"/>
  <c r="U19" i="3"/>
  <c r="U35" i="3"/>
  <c r="U28" i="3"/>
  <c r="V28" i="3"/>
  <c r="W28" i="3" s="1"/>
  <c r="V11" i="3"/>
  <c r="W11" i="3" s="1"/>
  <c r="V30" i="3"/>
  <c r="W30" i="3" s="1"/>
  <c r="U21" i="3"/>
  <c r="V43" i="3"/>
  <c r="W43" i="3" s="1"/>
  <c r="U25" i="3"/>
  <c r="V38" i="3"/>
  <c r="W38" i="3" s="1"/>
  <c r="U10" i="3"/>
  <c r="U14" i="3"/>
  <c r="V37" i="3"/>
  <c r="W37" i="3" s="1"/>
  <c r="V22" i="3"/>
  <c r="W22" i="3" s="1"/>
  <c r="V24" i="3"/>
  <c r="W24" i="3" s="1"/>
  <c r="U17" i="3"/>
  <c r="V12" i="3"/>
  <c r="W12" i="3" s="1"/>
  <c r="V34" i="3"/>
  <c r="W34" i="3" s="1"/>
  <c r="V6" i="3"/>
  <c r="W6" i="3" s="1"/>
  <c r="V44" i="3"/>
  <c r="W44" i="3" s="1"/>
  <c r="V2" i="3"/>
  <c r="W2" i="3" s="1"/>
  <c r="V33" i="3"/>
  <c r="W33" i="3" s="1"/>
  <c r="V4" i="3"/>
  <c r="W4" i="3" s="1"/>
  <c r="V8" i="3"/>
  <c r="W8" i="3" s="1"/>
  <c r="U40" i="3"/>
  <c r="V45" i="3"/>
  <c r="W45" i="3" s="1"/>
  <c r="V27" i="3"/>
  <c r="W27" i="3" s="1"/>
  <c r="V35" i="3"/>
  <c r="W35" i="3" s="1"/>
  <c r="U15" i="3"/>
  <c r="V15" i="3"/>
  <c r="W15" i="3" s="1"/>
  <c r="V41" i="3"/>
  <c r="W41" i="3" s="1"/>
  <c r="V17" i="3"/>
  <c r="W17" i="3" s="1"/>
  <c r="U5" i="3"/>
  <c r="V36" i="3"/>
  <c r="W36" i="3" s="1"/>
  <c r="V40" i="3"/>
  <c r="W40" i="3" s="1"/>
  <c r="U30" i="3"/>
  <c r="U18" i="3"/>
  <c r="U46" i="3"/>
  <c r="V39" i="3"/>
  <c r="W39" i="3" s="1"/>
  <c r="V32" i="3"/>
  <c r="W32" i="3" s="1"/>
  <c r="U12" i="3"/>
  <c r="V10" i="3"/>
  <c r="W10" i="3" s="1"/>
  <c r="V21" i="3"/>
  <c r="W21" i="3" s="1"/>
  <c r="V19" i="3"/>
  <c r="W19" i="3" s="1"/>
  <c r="V31" i="3"/>
  <c r="W31" i="3" s="1"/>
  <c r="A9" i="4" l="1" a="1"/>
  <c r="A9" i="4" s="1"/>
  <c r="B9" i="4" s="1"/>
  <c r="B8" i="4"/>
  <c r="A10" i="8" a="1"/>
  <c r="A10" i="8" s="1"/>
  <c r="A11" i="8" s="1" a="1"/>
  <c r="A11" i="8" s="1"/>
  <c r="A12" i="8" s="1" a="1"/>
  <c r="A12" i="8" s="1"/>
  <c r="H5" i="4"/>
  <c r="J5" i="4" s="1"/>
  <c r="M41" i="3"/>
  <c r="T41" i="3" s="1"/>
  <c r="M40" i="3"/>
  <c r="T40" i="3" s="1"/>
  <c r="M9" i="3"/>
  <c r="T9" i="3" s="1"/>
  <c r="M17" i="3"/>
  <c r="T17" i="3" s="1"/>
  <c r="M3" i="3"/>
  <c r="T3" i="3" s="1"/>
  <c r="M2" i="3"/>
  <c r="M21" i="3"/>
  <c r="M38" i="3"/>
  <c r="T38" i="3" s="1"/>
  <c r="M26" i="3"/>
  <c r="T26" i="3" s="1"/>
  <c r="M29" i="3"/>
  <c r="T29" i="3" s="1"/>
  <c r="M6" i="3"/>
  <c r="T6" i="3" s="1"/>
  <c r="M33" i="3"/>
  <c r="T33" i="3" s="1"/>
  <c r="M25" i="3"/>
  <c r="T25" i="3" s="1"/>
  <c r="M15" i="3"/>
  <c r="T15" i="3" s="1"/>
  <c r="M23" i="3"/>
  <c r="M12" i="3"/>
  <c r="T12" i="3" s="1"/>
  <c r="M18" i="3"/>
  <c r="M8" i="3"/>
  <c r="T8" i="3" s="1"/>
  <c r="M5" i="3"/>
  <c r="T5" i="3" s="1"/>
  <c r="M20" i="3"/>
  <c r="T20" i="3" s="1"/>
  <c r="M30" i="3"/>
  <c r="T30" i="3" s="1"/>
  <c r="M31" i="3"/>
  <c r="M10" i="3"/>
  <c r="T10" i="3" s="1"/>
  <c r="M19" i="3"/>
  <c r="M37" i="3"/>
  <c r="T37" i="3" s="1"/>
  <c r="M39" i="3"/>
  <c r="T39" i="3" s="1"/>
  <c r="M28" i="3"/>
  <c r="T28" i="3" s="1"/>
  <c r="M35" i="3"/>
  <c r="T35" i="3" s="1"/>
  <c r="M22" i="3"/>
  <c r="M14" i="3"/>
  <c r="T14" i="3" s="1"/>
  <c r="M16" i="3"/>
  <c r="T16" i="3" s="1"/>
  <c r="M34" i="3"/>
  <c r="T34" i="3" s="1"/>
  <c r="N41" i="3"/>
  <c r="N42" i="3"/>
  <c r="M7" i="3"/>
  <c r="T7" i="3" s="1"/>
  <c r="H32" i="3"/>
  <c r="N30" i="3" s="1"/>
  <c r="M32" i="3"/>
  <c r="T32" i="3" s="1"/>
  <c r="H11" i="3"/>
  <c r="N9" i="3" s="1"/>
  <c r="M11" i="3"/>
  <c r="T11" i="3" s="1"/>
  <c r="H42" i="3"/>
  <c r="N40" i="3" s="1"/>
  <c r="M42" i="3"/>
  <c r="T42" i="3" s="1"/>
  <c r="H4" i="3"/>
  <c r="N2" i="3" s="1"/>
  <c r="M4" i="3"/>
  <c r="T4" i="3" s="1"/>
  <c r="M27" i="3"/>
  <c r="T27" i="3" s="1"/>
  <c r="M13" i="3"/>
  <c r="M36" i="3"/>
  <c r="T36" i="3" s="1"/>
  <c r="H24" i="3"/>
  <c r="N22" i="3" s="1"/>
  <c r="M24" i="3"/>
  <c r="T24" i="3" s="1"/>
  <c r="T44" i="3"/>
  <c r="H41" i="3"/>
  <c r="N39" i="3" s="1"/>
  <c r="H39" i="3"/>
  <c r="N37" i="3" s="1"/>
  <c r="H25" i="3"/>
  <c r="N23" i="3" s="1"/>
  <c r="H21" i="3"/>
  <c r="N19" i="3" s="1"/>
  <c r="H31" i="3"/>
  <c r="N29" i="3" s="1"/>
  <c r="H9" i="3"/>
  <c r="N7" i="3" s="1"/>
  <c r="H8" i="3"/>
  <c r="N6" i="3" s="1"/>
  <c r="H5" i="3"/>
  <c r="N3" i="3" s="1"/>
  <c r="H37" i="3"/>
  <c r="N35" i="3" s="1"/>
  <c r="H33" i="3"/>
  <c r="N31" i="3" s="1"/>
  <c r="H35" i="3"/>
  <c r="N33" i="3" s="1"/>
  <c r="H12" i="3"/>
  <c r="N10" i="3" s="1"/>
  <c r="H17" i="3"/>
  <c r="N15" i="3" s="1"/>
  <c r="H22" i="3"/>
  <c r="N20" i="3" s="1"/>
  <c r="H29" i="3"/>
  <c r="N27" i="3" s="1"/>
  <c r="H19" i="3"/>
  <c r="N17" i="3" s="1"/>
  <c r="T19" i="3"/>
  <c r="H30" i="3"/>
  <c r="N28" i="3" s="1"/>
  <c r="H28" i="3"/>
  <c r="N26" i="3" s="1"/>
  <c r="H15" i="3"/>
  <c r="N13" i="3" s="1"/>
  <c r="H38" i="3"/>
  <c r="N36" i="3" s="1"/>
  <c r="H27" i="3"/>
  <c r="N25" i="3" s="1"/>
  <c r="H13" i="3"/>
  <c r="N11" i="3" s="1"/>
  <c r="H10" i="3"/>
  <c r="N8" i="3" s="1"/>
  <c r="H14" i="3"/>
  <c r="N12" i="3" s="1"/>
  <c r="H16" i="3"/>
  <c r="N14" i="3" s="1"/>
  <c r="H20" i="3"/>
  <c r="N18" i="3" s="1"/>
  <c r="H6" i="3"/>
  <c r="N4" i="3" s="1"/>
  <c r="H3" i="3"/>
  <c r="H40" i="3"/>
  <c r="N38" i="3" s="1"/>
  <c r="H23" i="3"/>
  <c r="N21" i="3" s="1"/>
  <c r="H7" i="3"/>
  <c r="N5" i="3" s="1"/>
  <c r="T31" i="3"/>
  <c r="H18" i="3"/>
  <c r="N16" i="3" s="1"/>
  <c r="H26" i="3"/>
  <c r="N24" i="3" s="1"/>
  <c r="H36" i="3"/>
  <c r="N34" i="3" s="1"/>
  <c r="H34" i="3"/>
  <c r="N32" i="3" s="1"/>
  <c r="H2" i="3"/>
  <c r="T23" i="3"/>
  <c r="T18" i="3"/>
  <c r="T43" i="3"/>
  <c r="E6" i="4"/>
  <c r="G6" i="4"/>
  <c r="F6" i="4"/>
  <c r="I6" i="4"/>
  <c r="B58" i="8" s="1"/>
  <c r="B6" i="4"/>
  <c r="A58" i="8" s="1"/>
  <c r="A59" i="8"/>
  <c r="D6" i="4"/>
  <c r="H2" i="4"/>
  <c r="U32" i="3"/>
  <c r="U33" i="3"/>
  <c r="U38" i="3"/>
  <c r="U36" i="3"/>
  <c r="U41" i="3"/>
  <c r="U24" i="3"/>
  <c r="U4" i="3"/>
  <c r="U7" i="3"/>
  <c r="U34" i="3"/>
  <c r="T22" i="3"/>
  <c r="U22" i="3"/>
  <c r="U16" i="3"/>
  <c r="T13" i="3"/>
  <c r="U13" i="3"/>
  <c r="U2" i="3"/>
  <c r="U42" i="3"/>
  <c r="U39" i="3"/>
  <c r="U11" i="3"/>
  <c r="U29" i="3"/>
  <c r="U45" i="3"/>
  <c r="T45" i="3"/>
  <c r="U9" i="3"/>
  <c r="U26" i="3"/>
  <c r="B42" i="8"/>
  <c r="B40" i="8"/>
  <c r="C41" i="8"/>
  <c r="C42" i="8"/>
  <c r="C40" i="8"/>
  <c r="B41" i="8"/>
  <c r="U6" i="3"/>
  <c r="J2" i="4" l="1"/>
  <c r="T2" i="3"/>
  <c r="H6" i="4"/>
  <c r="J6" i="4" s="1"/>
  <c r="A60" i="8"/>
  <c r="B32" i="8"/>
  <c r="B35" i="8"/>
  <c r="B33" i="8"/>
  <c r="B34" i="8"/>
  <c r="U8" i="3"/>
  <c r="N4" i="2" s="1"/>
  <c r="D7" i="2" l="1"/>
  <c r="A61" i="8"/>
  <c r="B10" i="8" l="1"/>
  <c r="B12" i="8"/>
  <c r="B7" i="8"/>
  <c r="B9" i="8"/>
  <c r="B6" i="8"/>
  <c r="B5" i="8"/>
  <c r="B8" i="8"/>
  <c r="B11" i="8"/>
  <c r="B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E1" authorId="0" shapeId="0" xr:uid="{826720C7-F065-46E4-916F-96E842244F2E}">
      <text>
        <r>
          <rPr>
            <b/>
            <sz val="9"/>
            <color indexed="81"/>
            <rFont val="Segoe UI"/>
            <charset val="1"/>
          </rPr>
          <t>Diego: mb51</t>
        </r>
        <r>
          <rPr>
            <sz val="9"/>
            <color indexed="81"/>
            <rFont val="Segoe UI"/>
            <charset val="1"/>
          </rPr>
          <t xml:space="preserve">
mb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A1" authorId="0" shapeId="0" xr:uid="{57A02793-8447-41B8-802E-C30CC7DE367A}">
      <text>
        <r>
          <rPr>
            <b/>
            <sz val="9"/>
            <color indexed="81"/>
            <rFont val="Segoe UI"/>
            <charset val="1"/>
          </rPr>
          <t xml:space="preserve">Diego: me5a
</t>
        </r>
        <r>
          <rPr>
            <sz val="9"/>
            <color indexed="81"/>
            <rFont val="Segoe UI"/>
            <charset val="1"/>
          </rPr>
          <t xml:space="preserve">
sap  me5a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B1" authorId="0" shapeId="0" xr:uid="{D1C9DD12-5943-4303-B555-457B9A1FC79F}">
      <text>
        <r>
          <rPr>
            <b/>
            <sz val="9"/>
            <color indexed="81"/>
            <rFont val="Segoe UI"/>
            <charset val="1"/>
          </rPr>
          <t>Diego:</t>
        </r>
        <r>
          <rPr>
            <sz val="9"/>
            <color indexed="81"/>
            <rFont val="Segoe UI"/>
            <charset val="1"/>
          </rPr>
          <t xml:space="preserve">
sap me2m</t>
        </r>
      </text>
    </comment>
  </commentList>
</comments>
</file>

<file path=xl/sharedStrings.xml><?xml version="1.0" encoding="utf-8"?>
<sst xmlns="http://schemas.openxmlformats.org/spreadsheetml/2006/main" count="5220" uniqueCount="1700">
  <si>
    <t>GESTAO DE PECAS DO BRITADOR — GUIA RAPIDO DA PLANILHA</t>
  </si>
  <si>
    <t>ABA</t>
  </si>
  <si>
    <t>O QUE FAZ</t>
  </si>
  <si>
    <t>Dashboard</t>
  </si>
  <si>
    <t>Visao executiva: cards de indicadores e 6 graficos (valor por categoria, status de RCs, status de pedidos, cobertura de estoque, curva ABC e estoque parado). Tudo calculado por formula.</t>
  </si>
  <si>
    <t>Materiais</t>
  </si>
  <si>
    <t>Cadastro mestre das pecas do britador (45 itens de exemplo). Colunas de entrada em preto (codigo, nome, custo, saldo, min/max, localizacao, criticidade) e colunas calculadas (cobertura, giro, status, risco de ruptura, curva ABC).</t>
  </si>
  <si>
    <t>Fornecedores</t>
  </si>
  <si>
    <t>Cadastro dos fornecedores com lead time e indicadores de performance (OTIF, atrasos), calculados a partir da aba Pedidos.</t>
  </si>
  <si>
    <t>Movimentacoes</t>
  </si>
  <si>
    <t>Historico de entradas e saidas de estoque (6 meses de exemplo). Alimenta o consumo medio e o giro de estoque em Materiais.</t>
  </si>
  <si>
    <t>Requisicoes</t>
  </si>
  <si>
    <t>Controle de RCs (requisicoes de compra) com status (Pendente, Aguardando Aprovacao, Em Cotacao, Convertida).</t>
  </si>
  <si>
    <t>Pedidos</t>
  </si>
  <si>
    <t>Controle de OCs (pedidos de compra) com datas previstas/recebidas, status e atraso calculados automaticamente.</t>
  </si>
  <si>
    <t>Indicadores</t>
  </si>
  <si>
    <t>Aba de apoio: agrega os dados das demais abas nas tabelas que alimentam os graficos do Dashboard. Nao precisa editar.</t>
  </si>
  <si>
    <t>COMO ATUALIZAR OS DADOS</t>
  </si>
  <si>
    <t>1.</t>
  </si>
  <si>
    <t>Adicione novas pecas na aba Materiais (proxima linha livre), preenchendo as colunas A ate K. As colunas L em diante sao formulas — copie-as da ultima linha para baixo.</t>
  </si>
  <si>
    <t>2.</t>
  </si>
  <si>
    <t>Registre entradas e saidas de estoque na aba Movimentacoes.</t>
  </si>
  <si>
    <t>3.</t>
  </si>
  <si>
    <t>Registre novas requisicoes e pedidos nas abas Requisicoes e Pedidos.</t>
  </si>
  <si>
    <t>4.</t>
  </si>
  <si>
    <t>O Dashboard e a aba Indicadores recalculam automaticamente — nao exigem nenhuma acao manual.</t>
  </si>
  <si>
    <t>OBSERVACAO</t>
  </si>
  <si>
    <t>Os dados de materiais, fornecedores, movimentacoes, requisicoes e pedidos sao EXEMPLOS para demonstrar a estrutura e os indicadores. Substitua pelos dados reais da mineradora.</t>
  </si>
  <si>
    <t>VALOR EM ESTOQUE</t>
  </si>
  <si>
    <t>TOTAL DE MATERIAIS</t>
  </si>
  <si>
    <t>MATERIAIS CRITICOS</t>
  </si>
  <si>
    <t>RISCO DE RUPTURA (ALTO)</t>
  </si>
  <si>
    <t>ESTOQUE PARADO (R$)</t>
  </si>
  <si>
    <t>PEDIDOS ATRASADOS</t>
  </si>
  <si>
    <t>RC's PENDENTES</t>
  </si>
  <si>
    <t>PEDIDOS EM ABERTO</t>
  </si>
  <si>
    <t>LEAD TIME MEDIO</t>
  </si>
  <si>
    <t>% OTIF MEDIO</t>
  </si>
  <si>
    <t>Fonte: abas Materiais, Fornecedores, Movimentacoes, Requisicoes e Pedidos. Indicadores calculados por formula (SUMIFS/COUNTIFS/INDEX-MATCH) na aba Indicadores. Dados de exemplo — substitua pelos dados reais da mineradora.</t>
  </si>
  <si>
    <t>Codigo</t>
  </si>
  <si>
    <t>Categoria</t>
  </si>
  <si>
    <t>Unidade</t>
  </si>
  <si>
    <t>Fornecedor</t>
  </si>
  <si>
    <t>Custo Unitario (R$)</t>
  </si>
  <si>
    <t>Saldo Atual</t>
  </si>
  <si>
    <t>Estoque Minimo</t>
  </si>
  <si>
    <t>Estoque Maximo</t>
  </si>
  <si>
    <t>Localizacao</t>
  </si>
  <si>
    <t>Criticidade</t>
  </si>
  <si>
    <t>Lead Time (dias)</t>
  </si>
  <si>
    <t>Ponto de Reposicao</t>
  </si>
  <si>
    <t>Valor em Estoque (R$)</t>
  </si>
  <si>
    <t>Cobertura (dias)</t>
  </si>
  <si>
    <t>Ultima Movimentacao</t>
  </si>
  <si>
    <t>Dias sem Movimentacao</t>
  </si>
  <si>
    <t>Status Estoque</t>
  </si>
  <si>
    <t>Risco de Ruptura</t>
  </si>
  <si>
    <t>Valor Acumulado %</t>
  </si>
  <si>
    <t>Classe ABC</t>
  </si>
  <si>
    <t>Mandibula Fixa do Britador</t>
  </si>
  <si>
    <t>Estrutural</t>
  </si>
  <si>
    <t>UN</t>
  </si>
  <si>
    <t>A-01-01</t>
  </si>
  <si>
    <t>Critico</t>
  </si>
  <si>
    <t>Mandibula Movel do Britador</t>
  </si>
  <si>
    <t>A-01-02</t>
  </si>
  <si>
    <t>Revestimento Concavo</t>
  </si>
  <si>
    <t>Revestimentos</t>
  </si>
  <si>
    <t>A-02-01</t>
  </si>
  <si>
    <t>Revestimento Manto</t>
  </si>
  <si>
    <t>A-02-02</t>
  </si>
  <si>
    <t>Chapa Blindada Lateral</t>
  </si>
  <si>
    <t>A-02-03</t>
  </si>
  <si>
    <t>Nao Critico</t>
  </si>
  <si>
    <t>Chapa de Desgaste</t>
  </si>
  <si>
    <t>A-02-04</t>
  </si>
  <si>
    <t>Placa de Impacto</t>
  </si>
  <si>
    <t>A-02-05</t>
  </si>
  <si>
    <t>Eixo Excentrico</t>
  </si>
  <si>
    <t>A-01-03</t>
  </si>
  <si>
    <t>Bucha de Bronze</t>
  </si>
  <si>
    <t>A-01-04</t>
  </si>
  <si>
    <t>Bucha Excentrica</t>
  </si>
  <si>
    <t>A-01-05</t>
  </si>
  <si>
    <t>Volante de Inercia</t>
  </si>
  <si>
    <t>A-01-06</t>
  </si>
  <si>
    <t>Grelha Vibratoria</t>
  </si>
  <si>
    <t>A-01-07</t>
  </si>
  <si>
    <t>Rolamento 6205</t>
  </si>
  <si>
    <t>Rolamentos</t>
  </si>
  <si>
    <t>A-05-02</t>
  </si>
  <si>
    <t>Rolamento 6308</t>
  </si>
  <si>
    <t>A-05-03</t>
  </si>
  <si>
    <t>Rolamento de Rolos Conicos 32218</t>
  </si>
  <si>
    <t>A-05-04</t>
  </si>
  <si>
    <t>Rolamento Esferico 22318</t>
  </si>
  <si>
    <t>A-05-05</t>
  </si>
  <si>
    <t>Rolamento Autocompensador 22222</t>
  </si>
  <si>
    <t>A-05-06</t>
  </si>
  <si>
    <t>Retentor de Vedacao</t>
  </si>
  <si>
    <t>A-05-07</t>
  </si>
  <si>
    <t>Correia Transportadora B-1200</t>
  </si>
  <si>
    <t>Correias e Polias</t>
  </si>
  <si>
    <t>M</t>
  </si>
  <si>
    <t>B-03-01</t>
  </si>
  <si>
    <t>Correia em V A-75</t>
  </si>
  <si>
    <t>B-03-02</t>
  </si>
  <si>
    <t>Polia Motora</t>
  </si>
  <si>
    <t>B-03-03</t>
  </si>
  <si>
    <t>Polia Movida</t>
  </si>
  <si>
    <t>B-03-04</t>
  </si>
  <si>
    <t>Mola de Compressao</t>
  </si>
  <si>
    <t>Molas e Amortecedores</t>
  </si>
  <si>
    <t>B-04-01</t>
  </si>
  <si>
    <t>Amortecedor de Impacto</t>
  </si>
  <si>
    <t>B-04-02</t>
  </si>
  <si>
    <t>Motor Eletrico 150cv</t>
  </si>
  <si>
    <t>Eletrico</t>
  </si>
  <si>
    <t>C-01-01</t>
  </si>
  <si>
    <t>Motor Eletrico 75cv</t>
  </si>
  <si>
    <t>C-01-02</t>
  </si>
  <si>
    <t>Painel de Comando</t>
  </si>
  <si>
    <t>C-01-03</t>
  </si>
  <si>
    <t>Sensor de Vibracao</t>
  </si>
  <si>
    <t>C-01-04</t>
  </si>
  <si>
    <t>Sensor de Temperatura</t>
  </si>
  <si>
    <t>C-01-05</t>
  </si>
  <si>
    <t>Cabo Eletrico 4x10mm</t>
  </si>
  <si>
    <t>C-01-06</t>
  </si>
  <si>
    <t>Contator Tripolar</t>
  </si>
  <si>
    <t>C-01-07</t>
  </si>
  <si>
    <t>Cilindro Hidraulico de Ajuste</t>
  </si>
  <si>
    <t>Hidraulico</t>
  </si>
  <si>
    <t>C-02-01</t>
  </si>
  <si>
    <t>Bomba Hidraulica</t>
  </si>
  <si>
    <t>C-02-02</t>
  </si>
  <si>
    <t>Mangueira Hidraulica 1 polegada</t>
  </si>
  <si>
    <t>C-02-03</t>
  </si>
  <si>
    <t>Valvula Direcional</t>
  </si>
  <si>
    <t>C-02-04</t>
  </si>
  <si>
    <t>Filtro Hidraulico</t>
  </si>
  <si>
    <t>Filtros</t>
  </si>
  <si>
    <t>C-03-01</t>
  </si>
  <si>
    <t>Filtro de Oleo Lubrificante</t>
  </si>
  <si>
    <t>C-03-02</t>
  </si>
  <si>
    <t>Filtro de Ar</t>
  </si>
  <si>
    <t>C-03-03</t>
  </si>
  <si>
    <t>Oleo Lubrificante ISO 220</t>
  </si>
  <si>
    <t>Lubrificacao</t>
  </si>
  <si>
    <t>L</t>
  </si>
  <si>
    <t>D-01-01</t>
  </si>
  <si>
    <t>Graxa Industrial EP2</t>
  </si>
  <si>
    <t>KG</t>
  </si>
  <si>
    <t>D-01-02</t>
  </si>
  <si>
    <t>Parafuso Allen M24</t>
  </si>
  <si>
    <t>Fixacao</t>
  </si>
  <si>
    <t>D-02-01</t>
  </si>
  <si>
    <t>Porca Sextavada M24</t>
  </si>
  <si>
    <t>D-02-02</t>
  </si>
  <si>
    <t>Arruela de Pressao M24</t>
  </si>
  <si>
    <t>D-02-03</t>
  </si>
  <si>
    <t>Chaveta de Fixacao</t>
  </si>
  <si>
    <t>D-02-04</t>
  </si>
  <si>
    <t>Anel de Vedacao O-ring</t>
  </si>
  <si>
    <t>D-02-05</t>
  </si>
  <si>
    <t>Nome do Fornecedor</t>
  </si>
  <si>
    <t>Contato</t>
  </si>
  <si>
    <t>Lead Time Medio (dias)</t>
  </si>
  <si>
    <t>Total de Pedidos</t>
  </si>
  <si>
    <t>Pedidos Recebidos</t>
  </si>
  <si>
    <t>Entregas no Prazo</t>
  </si>
  <si>
    <t>% OTIF</t>
  </si>
  <si>
    <t>Pedidos Atrasados (Abertos)</t>
  </si>
  <si>
    <t>Performance</t>
  </si>
  <si>
    <t>SKF do Brasil Ltda</t>
  </si>
  <si>
    <t>(11) 4002-8888</t>
  </si>
  <si>
    <t>Metso Outotec Brasil</t>
  </si>
  <si>
    <t>(31) 3298-1000</t>
  </si>
  <si>
    <t>(11) 5185-4000</t>
  </si>
  <si>
    <t>(47) 3276-4000</t>
  </si>
  <si>
    <t>(19) 3876-5500</t>
  </si>
  <si>
    <t>Data</t>
  </si>
  <si>
    <t>Quantidade</t>
  </si>
  <si>
    <t>Status</t>
  </si>
  <si>
    <t>Dias em Aberto</t>
  </si>
  <si>
    <t>Convertida</t>
  </si>
  <si>
    <t>Em Cotacao</t>
  </si>
  <si>
    <t>Aguardando Aprovacao</t>
  </si>
  <si>
    <t>Pendente</t>
  </si>
  <si>
    <t>Data Emissao</t>
  </si>
  <si>
    <t>Data Prevista</t>
  </si>
  <si>
    <t>Data Recebimento</t>
  </si>
  <si>
    <t>Situacao Entrega</t>
  </si>
  <si>
    <t>Dias de Atraso</t>
  </si>
  <si>
    <t>1. VALOR EM ESTOQUE POR CATEGORIA</t>
  </si>
  <si>
    <t>Valor (R$)</t>
  </si>
  <si>
    <t>2. STATUS DAS REQUISICOES (RC)</t>
  </si>
  <si>
    <t>3. STATUS DOS PEDIDOS (OC)</t>
  </si>
  <si>
    <t>Em Transito</t>
  </si>
  <si>
    <t>Atrasado</t>
  </si>
  <si>
    <t>Recebido</t>
  </si>
  <si>
    <t>4. COBERTURA DE ESTOQUE (FAIXAS)</t>
  </si>
  <si>
    <t>Faixa</t>
  </si>
  <si>
    <t>Qtde Materiais</t>
  </si>
  <si>
    <t>Menos de 7 dias</t>
  </si>
  <si>
    <t>De 7 a 30 dias</t>
  </si>
  <si>
    <t>De 30 a 90 dias</t>
  </si>
  <si>
    <t>Mais de 90 dias</t>
  </si>
  <si>
    <t>5. CURVA ABC</t>
  </si>
  <si>
    <t>Classe</t>
  </si>
  <si>
    <t>A</t>
  </si>
  <si>
    <t>B</t>
  </si>
  <si>
    <t>C</t>
  </si>
  <si>
    <t>6. ESTOQUE PARADO POR FAIXA DE DIAS</t>
  </si>
  <si>
    <t>Valor Parado (R$)</t>
  </si>
  <si>
    <t>90 a 180 dias</t>
  </si>
  <si>
    <t>180 a 365 dias</t>
  </si>
  <si>
    <t>Mais de 365 dias</t>
  </si>
  <si>
    <t>7. PEDIDOS ATRASADOS POR FORNECEDOR</t>
  </si>
  <si>
    <t>Pedidos Atrasados</t>
  </si>
  <si>
    <t>Documento Material</t>
  </si>
  <si>
    <t>Tipo Movimento</t>
  </si>
  <si>
    <t>Material</t>
  </si>
  <si>
    <t>Centro</t>
  </si>
  <si>
    <t>Deposito</t>
  </si>
  <si>
    <t>UM</t>
  </si>
  <si>
    <t>Valor Unitario</t>
  </si>
  <si>
    <t>Valor Total</t>
  </si>
  <si>
    <t>Referencia</t>
  </si>
  <si>
    <t>1000</t>
  </si>
  <si>
    <t>ALM1</t>
  </si>
  <si>
    <t>Pedido 450001001</t>
  </si>
  <si>
    <t>OS 70001001</t>
  </si>
  <si>
    <t>Pedido 450001002</t>
  </si>
  <si>
    <t>OS 70001002</t>
  </si>
  <si>
    <t>Pedido 450001003</t>
  </si>
  <si>
    <t>OS 70001003</t>
  </si>
  <si>
    <t>Pedido 450001004</t>
  </si>
  <si>
    <t>OS 70001004</t>
  </si>
  <si>
    <t>Pedido 450001005</t>
  </si>
  <si>
    <t>OS 70001005</t>
  </si>
  <si>
    <t>Pedido 450001006</t>
  </si>
  <si>
    <t>OS 70001006</t>
  </si>
  <si>
    <t>Pedido 450001007</t>
  </si>
  <si>
    <t>OS 70001007</t>
  </si>
  <si>
    <t>Pedido 450001008</t>
  </si>
  <si>
    <t>OS 70001008</t>
  </si>
  <si>
    <t>Pedido 450001009</t>
  </si>
  <si>
    <t>OS 70001009</t>
  </si>
  <si>
    <t>Pedido 450001010</t>
  </si>
  <si>
    <t>OS 70001010</t>
  </si>
  <si>
    <t>Pedido 450001011</t>
  </si>
  <si>
    <t>OS 70001011</t>
  </si>
  <si>
    <t>Pedido 450001012</t>
  </si>
  <si>
    <t>OS 70001012</t>
  </si>
  <si>
    <t>Pedido 450001013</t>
  </si>
  <si>
    <t>OS 70001013</t>
  </si>
  <si>
    <t>Pedido 450001014</t>
  </si>
  <si>
    <t>OS 70001014</t>
  </si>
  <si>
    <t>Pedido 450001015</t>
  </si>
  <si>
    <t>OS 70001015</t>
  </si>
  <si>
    <t>Pedido 450001016</t>
  </si>
  <si>
    <t>OS 70001016</t>
  </si>
  <si>
    <t>Pedido 450001017</t>
  </si>
  <si>
    <t>OS 70001017</t>
  </si>
  <si>
    <t>Pedido 450001018</t>
  </si>
  <si>
    <t>OS 70001018</t>
  </si>
  <si>
    <t>Pedido 450001019</t>
  </si>
  <si>
    <t>OS 70001019</t>
  </si>
  <si>
    <t>Pedido 450001020</t>
  </si>
  <si>
    <t>OS 70001020</t>
  </si>
  <si>
    <t>Pedido 450001021</t>
  </si>
  <si>
    <t>OS 70001021</t>
  </si>
  <si>
    <t>Pedido 450001022</t>
  </si>
  <si>
    <t>OS 70001022</t>
  </si>
  <si>
    <t>Pedido 450001023</t>
  </si>
  <si>
    <t>OS 70001023</t>
  </si>
  <si>
    <t>Pedido 450001024</t>
  </si>
  <si>
    <t>OS 70001024</t>
  </si>
  <si>
    <t>Pedido 450001025</t>
  </si>
  <si>
    <t>OS 70001025</t>
  </si>
  <si>
    <t>Pedido 450001026</t>
  </si>
  <si>
    <t>OS 70001026</t>
  </si>
  <si>
    <t>Pedido 450001027</t>
  </si>
  <si>
    <t>OS 70001027</t>
  </si>
  <si>
    <t>Pedido 450001028</t>
  </si>
  <si>
    <t>OS 70001028</t>
  </si>
  <si>
    <t>Pedido 450001029</t>
  </si>
  <si>
    <t>OS 70001029</t>
  </si>
  <si>
    <t>Pedido 450001030</t>
  </si>
  <si>
    <t>OS 70001030</t>
  </si>
  <si>
    <t>Pedido 450001031</t>
  </si>
  <si>
    <t>OS 70001031</t>
  </si>
  <si>
    <t>Pedido 450001032</t>
  </si>
  <si>
    <t>OS 70001032</t>
  </si>
  <si>
    <t>Pedido 450001033</t>
  </si>
  <si>
    <t>OS 70001033</t>
  </si>
  <si>
    <t>Pedido 450001034</t>
  </si>
  <si>
    <t>OS 70001034</t>
  </si>
  <si>
    <t>Pedido 450001035</t>
  </si>
  <si>
    <t>OS 70001035</t>
  </si>
  <si>
    <t>Pedido 450001036</t>
  </si>
  <si>
    <t>OS 70001036</t>
  </si>
  <si>
    <t>Pedido 450001037</t>
  </si>
  <si>
    <t>OS 70001037</t>
  </si>
  <si>
    <t>Pedido 450001038</t>
  </si>
  <si>
    <t>OS 70001038</t>
  </si>
  <si>
    <t>Pedido 450001039</t>
  </si>
  <si>
    <t>OS 70001039</t>
  </si>
  <si>
    <t>Pedido 450001040</t>
  </si>
  <si>
    <t>OS 70001040</t>
  </si>
  <si>
    <t>Pedido 450001041</t>
  </si>
  <si>
    <t>OS 70001041</t>
  </si>
  <si>
    <t>Pedido 450001042</t>
  </si>
  <si>
    <t>OS 70001042</t>
  </si>
  <si>
    <t>Pedido 450001043</t>
  </si>
  <si>
    <t>OS 70001043</t>
  </si>
  <si>
    <t>Pedido 450001044</t>
  </si>
  <si>
    <t>OS 70001044</t>
  </si>
  <si>
    <t>Rótulos de Linha</t>
  </si>
  <si>
    <t>Total Geral</t>
  </si>
  <si>
    <t>500000001</t>
  </si>
  <si>
    <t>500000002</t>
  </si>
  <si>
    <t>500000003</t>
  </si>
  <si>
    <t>500000004</t>
  </si>
  <si>
    <t>500000005</t>
  </si>
  <si>
    <t>500000006</t>
  </si>
  <si>
    <t>500000007</t>
  </si>
  <si>
    <t>500000008</t>
  </si>
  <si>
    <t>500000009</t>
  </si>
  <si>
    <t>500000010</t>
  </si>
  <si>
    <t>500000011</t>
  </si>
  <si>
    <t>500000012</t>
  </si>
  <si>
    <t>500000013</t>
  </si>
  <si>
    <t>500000014</t>
  </si>
  <si>
    <t>500000015</t>
  </si>
  <si>
    <t>500000016</t>
  </si>
  <si>
    <t>500000017</t>
  </si>
  <si>
    <t>500000018</t>
  </si>
  <si>
    <t>500000019</t>
  </si>
  <si>
    <t>500000020</t>
  </si>
  <si>
    <t>500000021</t>
  </si>
  <si>
    <t>500000022</t>
  </si>
  <si>
    <t>500000023</t>
  </si>
  <si>
    <t>500000024</t>
  </si>
  <si>
    <t>500000025</t>
  </si>
  <si>
    <t>500000026</t>
  </si>
  <si>
    <t>500000027</t>
  </si>
  <si>
    <t>500000028</t>
  </si>
  <si>
    <t>500000029</t>
  </si>
  <si>
    <t>500000030</t>
  </si>
  <si>
    <t>500000031</t>
  </si>
  <si>
    <t>500000032</t>
  </si>
  <si>
    <t>500000033</t>
  </si>
  <si>
    <t>500000034</t>
  </si>
  <si>
    <t>500000035</t>
  </si>
  <si>
    <t>500000036</t>
  </si>
  <si>
    <t>500000037</t>
  </si>
  <si>
    <t>500000038</t>
  </si>
  <si>
    <t>500000039</t>
  </si>
  <si>
    <t>500000040</t>
  </si>
  <si>
    <t>500000041</t>
  </si>
  <si>
    <t>500000042</t>
  </si>
  <si>
    <t>500000043</t>
  </si>
  <si>
    <t>500000044</t>
  </si>
  <si>
    <t>500000045</t>
  </si>
  <si>
    <t>500000046</t>
  </si>
  <si>
    <t>500000047</t>
  </si>
  <si>
    <t>500000048</t>
  </si>
  <si>
    <t>500000049</t>
  </si>
  <si>
    <t>500000050</t>
  </si>
  <si>
    <t>500000051</t>
  </si>
  <si>
    <t>500000052</t>
  </si>
  <si>
    <t>500000053</t>
  </si>
  <si>
    <t>500000054</t>
  </si>
  <si>
    <t>500000055</t>
  </si>
  <si>
    <t>500000056</t>
  </si>
  <si>
    <t>500000057</t>
  </si>
  <si>
    <t>500000058</t>
  </si>
  <si>
    <t>500000059</t>
  </si>
  <si>
    <t>500000060</t>
  </si>
  <si>
    <t>500000061</t>
  </si>
  <si>
    <t>500000062</t>
  </si>
  <si>
    <t>500000063</t>
  </si>
  <si>
    <t>500000064</t>
  </si>
  <si>
    <t>500000065</t>
  </si>
  <si>
    <t>500000066</t>
  </si>
  <si>
    <t>500000067</t>
  </si>
  <si>
    <t>500000068</t>
  </si>
  <si>
    <t>500000069</t>
  </si>
  <si>
    <t>500000070</t>
  </si>
  <si>
    <t>500000071</t>
  </si>
  <si>
    <t>500000072</t>
  </si>
  <si>
    <t>500000073</t>
  </si>
  <si>
    <t>500000074</t>
  </si>
  <si>
    <t>500000075</t>
  </si>
  <si>
    <t>500000076</t>
  </si>
  <si>
    <t>500000077</t>
  </si>
  <si>
    <t>500000078</t>
  </si>
  <si>
    <t>500000079</t>
  </si>
  <si>
    <t>500000080</t>
  </si>
  <si>
    <t>500000081</t>
  </si>
  <si>
    <t>500000082</t>
  </si>
  <si>
    <t>500000083</t>
  </si>
  <si>
    <t>500000084</t>
  </si>
  <si>
    <t>500000085</t>
  </si>
  <si>
    <t>500000086</t>
  </si>
  <si>
    <t>500000087</t>
  </si>
  <si>
    <t>500000088</t>
  </si>
  <si>
    <t>500000089</t>
  </si>
  <si>
    <t>Pedido 450001045</t>
  </si>
  <si>
    <t>500000090</t>
  </si>
  <si>
    <t>OS 70001045</t>
  </si>
  <si>
    <t>500000091</t>
  </si>
  <si>
    <t>Pedido 450001046</t>
  </si>
  <si>
    <t>500000092</t>
  </si>
  <si>
    <t>OS 70001046</t>
  </si>
  <si>
    <t>500000093</t>
  </si>
  <si>
    <t>Pedido 450001047</t>
  </si>
  <si>
    <t>500000094</t>
  </si>
  <si>
    <t>OS 70001047</t>
  </si>
  <si>
    <t>500000095</t>
  </si>
  <si>
    <t>Pedido 450001048</t>
  </si>
  <si>
    <t>500000096</t>
  </si>
  <si>
    <t>OS 70001048</t>
  </si>
  <si>
    <t>500000097</t>
  </si>
  <si>
    <t>Pedido 450001049</t>
  </si>
  <si>
    <t>500000098</t>
  </si>
  <si>
    <t>OS 70001049</t>
  </si>
  <si>
    <t>500000099</t>
  </si>
  <si>
    <t>Pedido 450001050</t>
  </si>
  <si>
    <t>500000100</t>
  </si>
  <si>
    <t>OS 70001050</t>
  </si>
  <si>
    <t>500000101</t>
  </si>
  <si>
    <t>Pedido 450001051</t>
  </si>
  <si>
    <t>500000102</t>
  </si>
  <si>
    <t>OS 70001051</t>
  </si>
  <si>
    <t>500000103</t>
  </si>
  <si>
    <t>Pedido 450001052</t>
  </si>
  <si>
    <t>500000104</t>
  </si>
  <si>
    <t>OS 70001052</t>
  </si>
  <si>
    <t>500000105</t>
  </si>
  <si>
    <t>Pedido 450001053</t>
  </si>
  <si>
    <t>500000106</t>
  </si>
  <si>
    <t>OS 70001053</t>
  </si>
  <si>
    <t>500000107</t>
  </si>
  <si>
    <t>Pedido 450001054</t>
  </si>
  <si>
    <t>500000108</t>
  </si>
  <si>
    <t>OS 70001054</t>
  </si>
  <si>
    <t>500000109</t>
  </si>
  <si>
    <t>Pedido 450001055</t>
  </si>
  <si>
    <t>500000110</t>
  </si>
  <si>
    <t>OS 70001055</t>
  </si>
  <si>
    <t>500000111</t>
  </si>
  <si>
    <t>Pedido 450001056</t>
  </si>
  <si>
    <t>500000112</t>
  </si>
  <si>
    <t>OS 70001056</t>
  </si>
  <si>
    <t>500000113</t>
  </si>
  <si>
    <t>Pedido 450001057</t>
  </si>
  <si>
    <t>500000114</t>
  </si>
  <si>
    <t>OS 70001057</t>
  </si>
  <si>
    <t>500000115</t>
  </si>
  <si>
    <t>Pedido 450001058</t>
  </si>
  <si>
    <t>500000116</t>
  </si>
  <si>
    <t>OS 70001058</t>
  </si>
  <si>
    <t>500000117</t>
  </si>
  <si>
    <t>Pedido 450001059</t>
  </si>
  <si>
    <t>500000118</t>
  </si>
  <si>
    <t>OS 70001059</t>
  </si>
  <si>
    <t>500000119</t>
  </si>
  <si>
    <t>Pedido 450001060</t>
  </si>
  <si>
    <t>500000120</t>
  </si>
  <si>
    <t>OS 70001060</t>
  </si>
  <si>
    <t>500000121</t>
  </si>
  <si>
    <t>Pedido 450001061</t>
  </si>
  <si>
    <t>500000122</t>
  </si>
  <si>
    <t>OS 70001061</t>
  </si>
  <si>
    <t>500000123</t>
  </si>
  <si>
    <t>Pedido 450001062</t>
  </si>
  <si>
    <t>500000124</t>
  </si>
  <si>
    <t>OS 70001062</t>
  </si>
  <si>
    <t>500000125</t>
  </si>
  <si>
    <t>Pedido 450001063</t>
  </si>
  <si>
    <t>500000126</t>
  </si>
  <si>
    <t>OS 70001063</t>
  </si>
  <si>
    <t>500000127</t>
  </si>
  <si>
    <t>Pedido 450001064</t>
  </si>
  <si>
    <t>500000128</t>
  </si>
  <si>
    <t>OS 70001064</t>
  </si>
  <si>
    <t>500000129</t>
  </si>
  <si>
    <t>Pedido 450001065</t>
  </si>
  <si>
    <t>500000130</t>
  </si>
  <si>
    <t>OS 70001065</t>
  </si>
  <si>
    <t>500000131</t>
  </si>
  <si>
    <t>Pedido 450001066</t>
  </si>
  <si>
    <t>500000132</t>
  </si>
  <si>
    <t>OS 70001066</t>
  </si>
  <si>
    <t>500000133</t>
  </si>
  <si>
    <t>Pedido 450001067</t>
  </si>
  <si>
    <t>500000134</t>
  </si>
  <si>
    <t>OS 70001067</t>
  </si>
  <si>
    <t>500000135</t>
  </si>
  <si>
    <t>Pedido 450001068</t>
  </si>
  <si>
    <t>500000136</t>
  </si>
  <si>
    <t>OS 70001068</t>
  </si>
  <si>
    <t>500000137</t>
  </si>
  <si>
    <t>Pedido 450001069</t>
  </si>
  <si>
    <t>500000138</t>
  </si>
  <si>
    <t>OS 70001069</t>
  </si>
  <si>
    <t>500000139</t>
  </si>
  <si>
    <t>Pedido 450001070</t>
  </si>
  <si>
    <t>500000140</t>
  </si>
  <si>
    <t>OS 70001070</t>
  </si>
  <si>
    <t>500000141</t>
  </si>
  <si>
    <t>Pedido 450001071</t>
  </si>
  <si>
    <t>500000142</t>
  </si>
  <si>
    <t>OS 70001071</t>
  </si>
  <si>
    <t>500000143</t>
  </si>
  <si>
    <t>Pedido 450001072</t>
  </si>
  <si>
    <t>500000144</t>
  </si>
  <si>
    <t>OS 70001072</t>
  </si>
  <si>
    <t>500000145</t>
  </si>
  <si>
    <t>Pedido 450001073</t>
  </si>
  <si>
    <t>500000146</t>
  </si>
  <si>
    <t>OS 70001073</t>
  </si>
  <si>
    <t>500000147</t>
  </si>
  <si>
    <t>Pedido 450001074</t>
  </si>
  <si>
    <t>500000148</t>
  </si>
  <si>
    <t>OS 70001074</t>
  </si>
  <si>
    <t>500000149</t>
  </si>
  <si>
    <t>Pedido 450001075</t>
  </si>
  <si>
    <t>500000150</t>
  </si>
  <si>
    <t>OS 70001075</t>
  </si>
  <si>
    <t>500000151</t>
  </si>
  <si>
    <t>Pedido 450001076</t>
  </si>
  <si>
    <t>500000152</t>
  </si>
  <si>
    <t>OS 70001076</t>
  </si>
  <si>
    <t>500000153</t>
  </si>
  <si>
    <t>Pedido 450001077</t>
  </si>
  <si>
    <t>500000154</t>
  </si>
  <si>
    <t>OS 70001077</t>
  </si>
  <si>
    <t>500000155</t>
  </si>
  <si>
    <t>Pedido 450001078</t>
  </si>
  <si>
    <t>500000156</t>
  </si>
  <si>
    <t>OS 70001078</t>
  </si>
  <si>
    <t>500000157</t>
  </si>
  <si>
    <t>Pedido 450001079</t>
  </si>
  <si>
    <t>500000158</t>
  </si>
  <si>
    <t>OS 70001079</t>
  </si>
  <si>
    <t>500000159</t>
  </si>
  <si>
    <t>Pedido 450001080</t>
  </si>
  <si>
    <t>500000160</t>
  </si>
  <si>
    <t>OS 70001080</t>
  </si>
  <si>
    <t>500000161</t>
  </si>
  <si>
    <t>Pedido 450001081</t>
  </si>
  <si>
    <t>500000162</t>
  </si>
  <si>
    <t>OS 70001081</t>
  </si>
  <si>
    <t>500000163</t>
  </si>
  <si>
    <t>Pedido 450001082</t>
  </si>
  <si>
    <t>500000164</t>
  </si>
  <si>
    <t>OS 70001082</t>
  </si>
  <si>
    <t>500000165</t>
  </si>
  <si>
    <t>Pedido 450001083</t>
  </si>
  <si>
    <t>500000166</t>
  </si>
  <si>
    <t>OS 70001083</t>
  </si>
  <si>
    <t>500000167</t>
  </si>
  <si>
    <t>Pedido 450001084</t>
  </si>
  <si>
    <t>500000168</t>
  </si>
  <si>
    <t>OS 70001084</t>
  </si>
  <si>
    <t>500000169</t>
  </si>
  <si>
    <t>Pedido 450001085</t>
  </si>
  <si>
    <t>500000170</t>
  </si>
  <si>
    <t>OS 70001085</t>
  </si>
  <si>
    <t>500000171</t>
  </si>
  <si>
    <t>Pedido 450001086</t>
  </si>
  <si>
    <t>500000172</t>
  </si>
  <si>
    <t>OS 70001086</t>
  </si>
  <si>
    <t>500000173</t>
  </si>
  <si>
    <t>Pedido 450001087</t>
  </si>
  <si>
    <t>500000174</t>
  </si>
  <si>
    <t>OS 70001087</t>
  </si>
  <si>
    <t>500000175</t>
  </si>
  <si>
    <t>Pedido 450001088</t>
  </si>
  <si>
    <t>500000176</t>
  </si>
  <si>
    <t>OS 70001088</t>
  </si>
  <si>
    <t>500000177</t>
  </si>
  <si>
    <t>Pedido 450001089</t>
  </si>
  <si>
    <t>500000178</t>
  </si>
  <si>
    <t>OS 70001089</t>
  </si>
  <si>
    <t>500000179</t>
  </si>
  <si>
    <t>Pedido 450001090</t>
  </si>
  <si>
    <t>500000180</t>
  </si>
  <si>
    <t>OS 70001090</t>
  </si>
  <si>
    <t>500000181</t>
  </si>
  <si>
    <t>Pedido 450001091</t>
  </si>
  <si>
    <t>500000182</t>
  </si>
  <si>
    <t>OS 70001091</t>
  </si>
  <si>
    <t>500000183</t>
  </si>
  <si>
    <t>Pedido 450001092</t>
  </si>
  <si>
    <t>500000184</t>
  </si>
  <si>
    <t>OS 70001092</t>
  </si>
  <si>
    <t>500000185</t>
  </si>
  <si>
    <t>Pedido 450001093</t>
  </si>
  <si>
    <t>500000186</t>
  </si>
  <si>
    <t>OS 70001093</t>
  </si>
  <si>
    <t>500000187</t>
  </si>
  <si>
    <t>Pedido 450001094</t>
  </si>
  <si>
    <t>500000188</t>
  </si>
  <si>
    <t>OS 70001094</t>
  </si>
  <si>
    <t>500000189</t>
  </si>
  <si>
    <t>Pedido 450001095</t>
  </si>
  <si>
    <t>500000190</t>
  </si>
  <si>
    <t>OS 70001095</t>
  </si>
  <si>
    <t>500000191</t>
  </si>
  <si>
    <t>Pedido 450001096</t>
  </si>
  <si>
    <t>500000192</t>
  </si>
  <si>
    <t>OS 70001096</t>
  </si>
  <si>
    <t>500000193</t>
  </si>
  <si>
    <t>Pedido 450001097</t>
  </si>
  <si>
    <t>500000194</t>
  </si>
  <si>
    <t>OS 70001097</t>
  </si>
  <si>
    <t>500000195</t>
  </si>
  <si>
    <t>Pedido 450001098</t>
  </si>
  <si>
    <t>500000196</t>
  </si>
  <si>
    <t>OS 70001098</t>
  </si>
  <si>
    <t>500000197</t>
  </si>
  <si>
    <t>Pedido 450001099</t>
  </si>
  <si>
    <t>500000198</t>
  </si>
  <si>
    <t>OS 70001099</t>
  </si>
  <si>
    <t>500000199</t>
  </si>
  <si>
    <t>Pedido 450001100</t>
  </si>
  <si>
    <t>500000200</t>
  </si>
  <si>
    <t>OS 70001100</t>
  </si>
  <si>
    <t>500000201</t>
  </si>
  <si>
    <t>Pedido 450001101</t>
  </si>
  <si>
    <t>500000202</t>
  </si>
  <si>
    <t>OS 70001101</t>
  </si>
  <si>
    <t>500000203</t>
  </si>
  <si>
    <t>Pedido 450001102</t>
  </si>
  <si>
    <t>500000204</t>
  </si>
  <si>
    <t>OS 70001102</t>
  </si>
  <si>
    <t>500000205</t>
  </si>
  <si>
    <t>Pedido 450001103</t>
  </si>
  <si>
    <t>500000206</t>
  </si>
  <si>
    <t>OS 70001103</t>
  </si>
  <si>
    <t>500000207</t>
  </si>
  <si>
    <t>Pedido 450001104</t>
  </si>
  <si>
    <t>500000208</t>
  </si>
  <si>
    <t>OS 70001104</t>
  </si>
  <si>
    <t>500000209</t>
  </si>
  <si>
    <t>Pedido 450001105</t>
  </si>
  <si>
    <t>500000210</t>
  </si>
  <si>
    <t>OS 70001105</t>
  </si>
  <si>
    <t>500000211</t>
  </si>
  <si>
    <t>Pedido 450001106</t>
  </si>
  <si>
    <t>500000212</t>
  </si>
  <si>
    <t>OS 70001106</t>
  </si>
  <si>
    <t>500000213</t>
  </si>
  <si>
    <t>Pedido 450001107</t>
  </si>
  <si>
    <t>500000214</t>
  </si>
  <si>
    <t>OS 70001107</t>
  </si>
  <si>
    <t>500000215</t>
  </si>
  <si>
    <t>Pedido 450001108</t>
  </si>
  <si>
    <t>500000216</t>
  </si>
  <si>
    <t>OS 70001108</t>
  </si>
  <si>
    <t>500000217</t>
  </si>
  <si>
    <t>Pedido 450001109</t>
  </si>
  <si>
    <t>500000218</t>
  </si>
  <si>
    <t>OS 70001109</t>
  </si>
  <si>
    <t>500000219</t>
  </si>
  <si>
    <t>Pedido 450001110</t>
  </si>
  <si>
    <t>500000220</t>
  </si>
  <si>
    <t>OS 70001110</t>
  </si>
  <si>
    <t>500000221</t>
  </si>
  <si>
    <t>Pedido 450001111</t>
  </si>
  <si>
    <t>500000222</t>
  </si>
  <si>
    <t>OS 70001111</t>
  </si>
  <si>
    <t>500000223</t>
  </si>
  <si>
    <t>Pedido 450001112</t>
  </si>
  <si>
    <t>500000224</t>
  </si>
  <si>
    <t>OS 70001112</t>
  </si>
  <si>
    <t>500000225</t>
  </si>
  <si>
    <t>Pedido 450001113</t>
  </si>
  <si>
    <t>500000226</t>
  </si>
  <si>
    <t>OS 70001113</t>
  </si>
  <si>
    <t>500000227</t>
  </si>
  <si>
    <t>Pedido 450001114</t>
  </si>
  <si>
    <t>500000228</t>
  </si>
  <si>
    <t>OS 70001114</t>
  </si>
  <si>
    <t>500000229</t>
  </si>
  <si>
    <t>Pedido 450001115</t>
  </si>
  <si>
    <t>500000230</t>
  </si>
  <si>
    <t>OS 70001115</t>
  </si>
  <si>
    <t>500000231</t>
  </si>
  <si>
    <t>Pedido 450001116</t>
  </si>
  <si>
    <t>500000232</t>
  </si>
  <si>
    <t>OS 70001116</t>
  </si>
  <si>
    <t>500000233</t>
  </si>
  <si>
    <t>Pedido 450001117</t>
  </si>
  <si>
    <t>500000234</t>
  </si>
  <si>
    <t>OS 70001117</t>
  </si>
  <si>
    <t>500000235</t>
  </si>
  <si>
    <t>Pedido 450001118</t>
  </si>
  <si>
    <t>500000236</t>
  </si>
  <si>
    <t>OS 70001118</t>
  </si>
  <si>
    <t>500000237</t>
  </si>
  <si>
    <t>Pedido 450001119</t>
  </si>
  <si>
    <t>500000238</t>
  </si>
  <si>
    <t>OS 70001119</t>
  </si>
  <si>
    <t>500000239</t>
  </si>
  <si>
    <t>Pedido 450001120</t>
  </si>
  <si>
    <t>500000240</t>
  </si>
  <si>
    <t>OS 70001120</t>
  </si>
  <si>
    <t>500000241</t>
  </si>
  <si>
    <t>Pedido 450001121</t>
  </si>
  <si>
    <t>500000242</t>
  </si>
  <si>
    <t>OS 70001121</t>
  </si>
  <si>
    <t>500000243</t>
  </si>
  <si>
    <t>Pedido 450001122</t>
  </si>
  <si>
    <t>500000244</t>
  </si>
  <si>
    <t>OS 70001122</t>
  </si>
  <si>
    <t>500000245</t>
  </si>
  <si>
    <t>Pedido 450001123</t>
  </si>
  <si>
    <t>500000246</t>
  </si>
  <si>
    <t>OS 70001123</t>
  </si>
  <si>
    <t>500000247</t>
  </si>
  <si>
    <t>Pedido 450001124</t>
  </si>
  <si>
    <t>500000248</t>
  </si>
  <si>
    <t>OS 70001124</t>
  </si>
  <si>
    <t>500000249</t>
  </si>
  <si>
    <t>Pedido 450001125</t>
  </si>
  <si>
    <t>500000250</t>
  </si>
  <si>
    <t>OS 70001125</t>
  </si>
  <si>
    <t>500000251</t>
  </si>
  <si>
    <t>Pedido 450001126</t>
  </si>
  <si>
    <t>500000252</t>
  </si>
  <si>
    <t>OS 70001126</t>
  </si>
  <si>
    <t>500000253</t>
  </si>
  <si>
    <t>Pedido 450001127</t>
  </si>
  <si>
    <t>500000254</t>
  </si>
  <si>
    <t>OS 70001127</t>
  </si>
  <si>
    <t>500000255</t>
  </si>
  <si>
    <t>Pedido 450001128</t>
  </si>
  <si>
    <t>500000256</t>
  </si>
  <si>
    <t>OS 70001128</t>
  </si>
  <si>
    <t>500000257</t>
  </si>
  <si>
    <t>Pedido 450001129</t>
  </si>
  <si>
    <t>500000258</t>
  </si>
  <si>
    <t>OS 70001129</t>
  </si>
  <si>
    <t>500000259</t>
  </si>
  <si>
    <t>Pedido 450001130</t>
  </si>
  <si>
    <t>500000260</t>
  </si>
  <si>
    <t>OS 70001130</t>
  </si>
  <si>
    <t>500000261</t>
  </si>
  <si>
    <t>Pedido 450001131</t>
  </si>
  <si>
    <t>500000262</t>
  </si>
  <si>
    <t>OS 70001131</t>
  </si>
  <si>
    <t>500000263</t>
  </si>
  <si>
    <t>Pedido 450001132</t>
  </si>
  <si>
    <t>500000264</t>
  </si>
  <si>
    <t>OS 70001132</t>
  </si>
  <si>
    <t>500000265</t>
  </si>
  <si>
    <t>Pedido 450001133</t>
  </si>
  <si>
    <t>500000266</t>
  </si>
  <si>
    <t>OS 70001133</t>
  </si>
  <si>
    <t>500000267</t>
  </si>
  <si>
    <t>Pedido 450001134</t>
  </si>
  <si>
    <t>500000268</t>
  </si>
  <si>
    <t>OS 70001134</t>
  </si>
  <si>
    <t>500000269</t>
  </si>
  <si>
    <t>Pedido 450001135</t>
  </si>
  <si>
    <t>500000270</t>
  </si>
  <si>
    <t>OS 70001135</t>
  </si>
  <si>
    <t>500000271</t>
  </si>
  <si>
    <t>Pedido 450001136</t>
  </si>
  <si>
    <t>500000272</t>
  </si>
  <si>
    <t>OS 70001136</t>
  </si>
  <si>
    <t>500000273</t>
  </si>
  <si>
    <t>Pedido 450001137</t>
  </si>
  <si>
    <t>500000274</t>
  </si>
  <si>
    <t>OS 70001137</t>
  </si>
  <si>
    <t>500000275</t>
  </si>
  <si>
    <t>Pedido 450001138</t>
  </si>
  <si>
    <t>500000276</t>
  </si>
  <si>
    <t>OS 70001138</t>
  </si>
  <si>
    <t>500000277</t>
  </si>
  <si>
    <t>Pedido 450001139</t>
  </si>
  <si>
    <t>500000278</t>
  </si>
  <si>
    <t>OS 70001139</t>
  </si>
  <si>
    <t>500000279</t>
  </si>
  <si>
    <t>Pedido 450001140</t>
  </si>
  <si>
    <t>500000280</t>
  </si>
  <si>
    <t>OS 70001140</t>
  </si>
  <si>
    <t>500000281</t>
  </si>
  <si>
    <t>Pedido 450001141</t>
  </si>
  <si>
    <t>500000282</t>
  </si>
  <si>
    <t>OS 70001141</t>
  </si>
  <si>
    <t>500000283</t>
  </si>
  <si>
    <t>Pedido 450001142</t>
  </si>
  <si>
    <t>500000284</t>
  </si>
  <si>
    <t>OS 70001142</t>
  </si>
  <si>
    <t>500000285</t>
  </si>
  <si>
    <t>Pedido 450001143</t>
  </si>
  <si>
    <t>500000286</t>
  </si>
  <si>
    <t>OS 70001143</t>
  </si>
  <si>
    <t>500000287</t>
  </si>
  <si>
    <t>Pedido 450001144</t>
  </si>
  <si>
    <t>500000288</t>
  </si>
  <si>
    <t>OS 70001144</t>
  </si>
  <si>
    <t>500000289</t>
  </si>
  <si>
    <t>Pedido 450001145</t>
  </si>
  <si>
    <t>500000290</t>
  </si>
  <si>
    <t>OS 70001145</t>
  </si>
  <si>
    <t>500000291</t>
  </si>
  <si>
    <t>Pedido 450001146</t>
  </si>
  <si>
    <t>500000292</t>
  </si>
  <si>
    <t>OS 70001146</t>
  </si>
  <si>
    <t>500000293</t>
  </si>
  <si>
    <t>Pedido 450001147</t>
  </si>
  <si>
    <t>500000294</t>
  </si>
  <si>
    <t>OS 70001147</t>
  </si>
  <si>
    <t>500000295</t>
  </si>
  <si>
    <t>Pedido 450001148</t>
  </si>
  <si>
    <t>500000296</t>
  </si>
  <si>
    <t>OS 70001148</t>
  </si>
  <si>
    <t>500000297</t>
  </si>
  <si>
    <t>Pedido 450001149</t>
  </si>
  <si>
    <t>500000298</t>
  </si>
  <si>
    <t>OS 70001149</t>
  </si>
  <si>
    <t>500000299</t>
  </si>
  <si>
    <t>Pedido 450001150</t>
  </si>
  <si>
    <t>500000300</t>
  </si>
  <si>
    <t>OS 70001150</t>
  </si>
  <si>
    <t>500000301</t>
  </si>
  <si>
    <t>Pedido 450001151</t>
  </si>
  <si>
    <t>500000302</t>
  </si>
  <si>
    <t>OS 70001151</t>
  </si>
  <si>
    <t>500000303</t>
  </si>
  <si>
    <t>Pedido 450001152</t>
  </si>
  <si>
    <t>500000304</t>
  </si>
  <si>
    <t>OS 70001152</t>
  </si>
  <si>
    <t>500000305</t>
  </si>
  <si>
    <t>Pedido 450001153</t>
  </si>
  <si>
    <t>500000306</t>
  </si>
  <si>
    <t>OS 70001153</t>
  </si>
  <si>
    <t>500000307</t>
  </si>
  <si>
    <t>Pedido 450001154</t>
  </si>
  <si>
    <t>500000308</t>
  </si>
  <si>
    <t>OS 70001154</t>
  </si>
  <si>
    <t>500000309</t>
  </si>
  <si>
    <t>Pedido 450001155</t>
  </si>
  <si>
    <t>500000310</t>
  </si>
  <si>
    <t>OS 70001155</t>
  </si>
  <si>
    <t>500000311</t>
  </si>
  <si>
    <t>Pedido 450001156</t>
  </si>
  <si>
    <t>500000312</t>
  </si>
  <si>
    <t>OS 70001156</t>
  </si>
  <si>
    <t>500000313</t>
  </si>
  <si>
    <t>Pedido 450001157</t>
  </si>
  <si>
    <t>500000314</t>
  </si>
  <si>
    <t>OS 70001157</t>
  </si>
  <si>
    <t>500000315</t>
  </si>
  <si>
    <t>Pedido 450001158</t>
  </si>
  <si>
    <t>500000316</t>
  </si>
  <si>
    <t>OS 70001158</t>
  </si>
  <si>
    <t>500000317</t>
  </si>
  <si>
    <t>Pedido 450001159</t>
  </si>
  <si>
    <t>500000318</t>
  </si>
  <si>
    <t>OS 70001159</t>
  </si>
  <si>
    <t>500000319</t>
  </si>
  <si>
    <t>Pedido 450001160</t>
  </si>
  <si>
    <t>500000320</t>
  </si>
  <si>
    <t>OS 70001160</t>
  </si>
  <si>
    <t>500000321</t>
  </si>
  <si>
    <t>Pedido 450001161</t>
  </si>
  <si>
    <t>500000322</t>
  </si>
  <si>
    <t>OS 70001161</t>
  </si>
  <si>
    <t>500000323</t>
  </si>
  <si>
    <t>Pedido 450001162</t>
  </si>
  <si>
    <t>500000324</t>
  </si>
  <si>
    <t>OS 70001162</t>
  </si>
  <si>
    <t>500000325</t>
  </si>
  <si>
    <t>Pedido 450001163</t>
  </si>
  <si>
    <t>500000326</t>
  </si>
  <si>
    <t>OS 70001163</t>
  </si>
  <si>
    <t>500000327</t>
  </si>
  <si>
    <t>Pedido 450001164</t>
  </si>
  <si>
    <t>500000328</t>
  </si>
  <si>
    <t>OS 70001164</t>
  </si>
  <si>
    <t>500000329</t>
  </si>
  <si>
    <t>Pedido 450001165</t>
  </si>
  <si>
    <t>500000330</t>
  </si>
  <si>
    <t>OS 70001165</t>
  </si>
  <si>
    <t>500000331</t>
  </si>
  <si>
    <t>Pedido 450001166</t>
  </si>
  <si>
    <t>500000332</t>
  </si>
  <si>
    <t>OS 70001166</t>
  </si>
  <si>
    <t>500000333</t>
  </si>
  <si>
    <t>Pedido 450001167</t>
  </si>
  <si>
    <t>500000334</t>
  </si>
  <si>
    <t>OS 70001167</t>
  </si>
  <si>
    <t>500000335</t>
  </si>
  <si>
    <t>Pedido 450001168</t>
  </si>
  <si>
    <t>500000336</t>
  </si>
  <si>
    <t>OS 70001168</t>
  </si>
  <si>
    <t>500000337</t>
  </si>
  <si>
    <t>Pedido 450001169</t>
  </si>
  <si>
    <t>500000338</t>
  </si>
  <si>
    <t>OS 70001169</t>
  </si>
  <si>
    <t>500000339</t>
  </si>
  <si>
    <t>Pedido 450001170</t>
  </si>
  <si>
    <t>500000340</t>
  </si>
  <si>
    <t>OS 70001170</t>
  </si>
  <si>
    <t>500000341</t>
  </si>
  <si>
    <t>Pedido 450001171</t>
  </si>
  <si>
    <t>500000342</t>
  </si>
  <si>
    <t>OS 70001171</t>
  </si>
  <si>
    <t>500000343</t>
  </si>
  <si>
    <t>Pedido 450001172</t>
  </si>
  <si>
    <t>500000344</t>
  </si>
  <si>
    <t>OS 70001172</t>
  </si>
  <si>
    <t>500000345</t>
  </si>
  <si>
    <t>Pedido 450001173</t>
  </si>
  <si>
    <t>500000346</t>
  </si>
  <si>
    <t>OS 70001173</t>
  </si>
  <si>
    <t>500000347</t>
  </si>
  <si>
    <t>Pedido 450001174</t>
  </si>
  <si>
    <t>500000348</t>
  </si>
  <si>
    <t>OS 70001174</t>
  </si>
  <si>
    <t>500000349</t>
  </si>
  <si>
    <t>Pedido 450001175</t>
  </si>
  <si>
    <t>500000350</t>
  </si>
  <si>
    <t>OS 70001175</t>
  </si>
  <si>
    <t>500000351</t>
  </si>
  <si>
    <t>Pedido 450001176</t>
  </si>
  <si>
    <t>500000352</t>
  </si>
  <si>
    <t>OS 70001176</t>
  </si>
  <si>
    <t>500000353</t>
  </si>
  <si>
    <t>Pedido 450001177</t>
  </si>
  <si>
    <t>500000354</t>
  </si>
  <si>
    <t>OS 70001177</t>
  </si>
  <si>
    <t>500000355</t>
  </si>
  <si>
    <t>Pedido 450001178</t>
  </si>
  <si>
    <t>500000356</t>
  </si>
  <si>
    <t>OS 70001178</t>
  </si>
  <si>
    <t>500000357</t>
  </si>
  <si>
    <t>Pedido 450001179</t>
  </si>
  <si>
    <t>500000358</t>
  </si>
  <si>
    <t>OS 70001179</t>
  </si>
  <si>
    <t>500000359</t>
  </si>
  <si>
    <t>Pedido 450001180</t>
  </si>
  <si>
    <t>500000360</t>
  </si>
  <si>
    <t>OS 70001180</t>
  </si>
  <si>
    <t>500000361</t>
  </si>
  <si>
    <t>Pedido 450001181</t>
  </si>
  <si>
    <t>500000362</t>
  </si>
  <si>
    <t>OS 70001181</t>
  </si>
  <si>
    <t>500000363</t>
  </si>
  <si>
    <t>Pedido 450001182</t>
  </si>
  <si>
    <t>500000364</t>
  </si>
  <si>
    <t>OS 70001182</t>
  </si>
  <si>
    <t>500000365</t>
  </si>
  <si>
    <t>Pedido 450001183</t>
  </si>
  <si>
    <t>500000366</t>
  </si>
  <si>
    <t>OS 70001183</t>
  </si>
  <si>
    <t>500000367</t>
  </si>
  <si>
    <t>Pedido 450001184</t>
  </si>
  <si>
    <t>500000368</t>
  </si>
  <si>
    <t>OS 70001184</t>
  </si>
  <si>
    <t>500000369</t>
  </si>
  <si>
    <t>Pedido 450001185</t>
  </si>
  <si>
    <t>500000370</t>
  </si>
  <si>
    <t>OS 70001185</t>
  </si>
  <si>
    <t>500000371</t>
  </si>
  <si>
    <t>Pedido 450001186</t>
  </si>
  <si>
    <t>500000372</t>
  </si>
  <si>
    <t>OS 70001186</t>
  </si>
  <si>
    <t>500000373</t>
  </si>
  <si>
    <t>Pedido 450001187</t>
  </si>
  <si>
    <t>500000374</t>
  </si>
  <si>
    <t>OS 70001187</t>
  </si>
  <si>
    <t>500000375</t>
  </si>
  <si>
    <t>Pedido 450001188</t>
  </si>
  <si>
    <t>500000376</t>
  </si>
  <si>
    <t>OS 70001188</t>
  </si>
  <si>
    <t>500000377</t>
  </si>
  <si>
    <t>Pedido 450001189</t>
  </si>
  <si>
    <t>500000378</t>
  </si>
  <si>
    <t>OS 70001189</t>
  </si>
  <si>
    <t>500000379</t>
  </si>
  <si>
    <t>Pedido 450001190</t>
  </si>
  <si>
    <t>500000380</t>
  </si>
  <si>
    <t>OS 70001190</t>
  </si>
  <si>
    <t>500000381</t>
  </si>
  <si>
    <t>Pedido 450001191</t>
  </si>
  <si>
    <t>500000382</t>
  </si>
  <si>
    <t>OS 70001191</t>
  </si>
  <si>
    <t>500000383</t>
  </si>
  <si>
    <t>Pedido 450001192</t>
  </si>
  <si>
    <t>500000384</t>
  </si>
  <si>
    <t>OS 70001192</t>
  </si>
  <si>
    <t>500000385</t>
  </si>
  <si>
    <t>Pedido 450001193</t>
  </si>
  <si>
    <t>500000386</t>
  </si>
  <si>
    <t>OS 70001193</t>
  </si>
  <si>
    <t>500000387</t>
  </si>
  <si>
    <t>Pedido 450001194</t>
  </si>
  <si>
    <t>500000388</t>
  </si>
  <si>
    <t>OS 70001194</t>
  </si>
  <si>
    <t>500000389</t>
  </si>
  <si>
    <t>Pedido 450001195</t>
  </si>
  <si>
    <t>500000390</t>
  </si>
  <si>
    <t>OS 70001195</t>
  </si>
  <si>
    <t>500000391</t>
  </si>
  <si>
    <t>Pedido 450001196</t>
  </si>
  <si>
    <t>500000392</t>
  </si>
  <si>
    <t>OS 70001196</t>
  </si>
  <si>
    <t>500000393</t>
  </si>
  <si>
    <t>Pedido 450001197</t>
  </si>
  <si>
    <t>500000394</t>
  </si>
  <si>
    <t>OS 70001197</t>
  </si>
  <si>
    <t>500000395</t>
  </si>
  <si>
    <t>Pedido 450001198</t>
  </si>
  <si>
    <t>500000396</t>
  </si>
  <si>
    <t>OS 70001198</t>
  </si>
  <si>
    <t>500000397</t>
  </si>
  <si>
    <t>Pedido 450001199</t>
  </si>
  <si>
    <t>500000398</t>
  </si>
  <si>
    <t>OS 70001199</t>
  </si>
  <si>
    <t>500000399</t>
  </si>
  <si>
    <t>Pedido 450001200</t>
  </si>
  <si>
    <t>500000400</t>
  </si>
  <si>
    <t>OS 70001200</t>
  </si>
  <si>
    <t>500000401</t>
  </si>
  <si>
    <t>Pedido 450001201</t>
  </si>
  <si>
    <t>500000402</t>
  </si>
  <si>
    <t>OS 70001201</t>
  </si>
  <si>
    <t>500000403</t>
  </si>
  <si>
    <t>Pedido 450001202</t>
  </si>
  <si>
    <t>500000404</t>
  </si>
  <si>
    <t>OS 70001202</t>
  </si>
  <si>
    <t>500000405</t>
  </si>
  <si>
    <t>Pedido 450001203</t>
  </si>
  <si>
    <t>500000406</t>
  </si>
  <si>
    <t>OS 70001203</t>
  </si>
  <si>
    <t>500000407</t>
  </si>
  <si>
    <t>Pedido 450001204</t>
  </si>
  <si>
    <t>500000408</t>
  </si>
  <si>
    <t>OS 70001204</t>
  </si>
  <si>
    <t>500000409</t>
  </si>
  <si>
    <t>Pedido 450001205</t>
  </si>
  <si>
    <t>500000410</t>
  </si>
  <si>
    <t>OS 70001205</t>
  </si>
  <si>
    <t>500000411</t>
  </si>
  <si>
    <t>Pedido 450001206</t>
  </si>
  <si>
    <t>500000412</t>
  </si>
  <si>
    <t>OS 70001206</t>
  </si>
  <si>
    <t>500000413</t>
  </si>
  <si>
    <t>Pedido 450001207</t>
  </si>
  <si>
    <t>500000414</t>
  </si>
  <si>
    <t>OS 70001207</t>
  </si>
  <si>
    <t>500000415</t>
  </si>
  <si>
    <t>Pedido 450001208</t>
  </si>
  <si>
    <t>500000416</t>
  </si>
  <si>
    <t>OS 70001208</t>
  </si>
  <si>
    <t>500000417</t>
  </si>
  <si>
    <t>Pedido 450001209</t>
  </si>
  <si>
    <t>500000418</t>
  </si>
  <si>
    <t>OS 70001209</t>
  </si>
  <si>
    <t>500000419</t>
  </si>
  <si>
    <t>Pedido 450001210</t>
  </si>
  <si>
    <t>500000420</t>
  </si>
  <si>
    <t>OS 70001210</t>
  </si>
  <si>
    <t>500000421</t>
  </si>
  <si>
    <t>Pedido 450001211</t>
  </si>
  <si>
    <t>500000422</t>
  </si>
  <si>
    <t>OS 70001211</t>
  </si>
  <si>
    <t>500000423</t>
  </si>
  <si>
    <t>Pedido 450001212</t>
  </si>
  <si>
    <t>500000424</t>
  </si>
  <si>
    <t>OS 70001212</t>
  </si>
  <si>
    <t>500000425</t>
  </si>
  <si>
    <t>Pedido 450001213</t>
  </si>
  <si>
    <t>500000426</t>
  </si>
  <si>
    <t>OS 70001213</t>
  </si>
  <si>
    <t>500000427</t>
  </si>
  <si>
    <t>Pedido 450001214</t>
  </si>
  <si>
    <t>500000428</t>
  </si>
  <si>
    <t>OS 70001214</t>
  </si>
  <si>
    <t>500000429</t>
  </si>
  <si>
    <t>Pedido 450001215</t>
  </si>
  <si>
    <t>500000430</t>
  </si>
  <si>
    <t>OS 70001215</t>
  </si>
  <si>
    <t>500000431</t>
  </si>
  <si>
    <t>Pedido 450001216</t>
  </si>
  <si>
    <t>500000432</t>
  </si>
  <si>
    <t>OS 70001216</t>
  </si>
  <si>
    <t>500000433</t>
  </si>
  <si>
    <t>Pedido 450001217</t>
  </si>
  <si>
    <t>500000434</t>
  </si>
  <si>
    <t>OS 70001217</t>
  </si>
  <si>
    <t>500000435</t>
  </si>
  <si>
    <t>Pedido 450001218</t>
  </si>
  <si>
    <t>500000436</t>
  </si>
  <si>
    <t>OS 70001218</t>
  </si>
  <si>
    <t>500000437</t>
  </si>
  <si>
    <t>Pedido 450001219</t>
  </si>
  <si>
    <t>500000438</t>
  </si>
  <si>
    <t>OS 70001219</t>
  </si>
  <si>
    <t>500000439</t>
  </si>
  <si>
    <t>Pedido 450001220</t>
  </si>
  <si>
    <t>500000440</t>
  </si>
  <si>
    <t>OS 70001220</t>
  </si>
  <si>
    <t>500000441</t>
  </si>
  <si>
    <t>Pedido 450001221</t>
  </si>
  <si>
    <t>500000442</t>
  </si>
  <si>
    <t>OS 70001221</t>
  </si>
  <si>
    <t>500000443</t>
  </si>
  <si>
    <t>Pedido 450001222</t>
  </si>
  <si>
    <t>500000444</t>
  </si>
  <si>
    <t>OS 70001222</t>
  </si>
  <si>
    <t>500000445</t>
  </si>
  <si>
    <t>Pedido 450001223</t>
  </si>
  <si>
    <t>500000446</t>
  </si>
  <si>
    <t>OS 70001223</t>
  </si>
  <si>
    <t>500000447</t>
  </si>
  <si>
    <t>Pedido 450001224</t>
  </si>
  <si>
    <t>500000448</t>
  </si>
  <si>
    <t>OS 70001224</t>
  </si>
  <si>
    <t>500000449</t>
  </si>
  <si>
    <t>Pedido 450001225</t>
  </si>
  <si>
    <t>500000450</t>
  </si>
  <si>
    <t>OS 70001225</t>
  </si>
  <si>
    <t>500000451</t>
  </si>
  <si>
    <t>Pedido 450001226</t>
  </si>
  <si>
    <t>500000452</t>
  </si>
  <si>
    <t>OS 70001226</t>
  </si>
  <si>
    <t>500000453</t>
  </si>
  <si>
    <t>Pedido 450001227</t>
  </si>
  <si>
    <t>500000454</t>
  </si>
  <si>
    <t>OS 70001227</t>
  </si>
  <si>
    <t>500000455</t>
  </si>
  <si>
    <t>Pedido 450001228</t>
  </si>
  <si>
    <t>500000456</t>
  </si>
  <si>
    <t>OS 70001228</t>
  </si>
  <si>
    <t>500000457</t>
  </si>
  <si>
    <t>Pedido 450001229</t>
  </si>
  <si>
    <t>500000458</t>
  </si>
  <si>
    <t>OS 70001229</t>
  </si>
  <si>
    <t>500000459</t>
  </si>
  <si>
    <t>Pedido 450001230</t>
  </si>
  <si>
    <t>500000460</t>
  </si>
  <si>
    <t>OS 70001230</t>
  </si>
  <si>
    <t>500000461</t>
  </si>
  <si>
    <t>Pedido 450001231</t>
  </si>
  <si>
    <t>500000462</t>
  </si>
  <si>
    <t>OS 70001231</t>
  </si>
  <si>
    <t>500000463</t>
  </si>
  <si>
    <t>Pedido 450001232</t>
  </si>
  <si>
    <t>500000464</t>
  </si>
  <si>
    <t>OS 70001232</t>
  </si>
  <si>
    <t>500000465</t>
  </si>
  <si>
    <t>Pedido 450001233</t>
  </si>
  <si>
    <t>500000466</t>
  </si>
  <si>
    <t>OS 70001233</t>
  </si>
  <si>
    <t>500000467</t>
  </si>
  <si>
    <t>Pedido 450001234</t>
  </si>
  <si>
    <t>500000468</t>
  </si>
  <si>
    <t>OS 70001234</t>
  </si>
  <si>
    <t>500000469</t>
  </si>
  <si>
    <t>Pedido 450001235</t>
  </si>
  <si>
    <t>500000470</t>
  </si>
  <si>
    <t>OS 70001235</t>
  </si>
  <si>
    <t>500000471</t>
  </si>
  <si>
    <t>Pedido 450001236</t>
  </si>
  <si>
    <t>500000472</t>
  </si>
  <si>
    <t>OS 70001236</t>
  </si>
  <si>
    <t>500000473</t>
  </si>
  <si>
    <t>Pedido 450001237</t>
  </si>
  <si>
    <t>500000474</t>
  </si>
  <si>
    <t>OS 70001237</t>
  </si>
  <si>
    <t>500000475</t>
  </si>
  <si>
    <t>Pedido 450001238</t>
  </si>
  <si>
    <t>500000476</t>
  </si>
  <si>
    <t>OS 70001238</t>
  </si>
  <si>
    <t>500000477</t>
  </si>
  <si>
    <t>Pedido 450001239</t>
  </si>
  <si>
    <t>500000478</t>
  </si>
  <si>
    <t>OS 70001239</t>
  </si>
  <si>
    <t>500000479</t>
  </si>
  <si>
    <t>Pedido 450001240</t>
  </si>
  <si>
    <t>500000480</t>
  </si>
  <si>
    <t>OS 70001240</t>
  </si>
  <si>
    <t>500000481</t>
  </si>
  <si>
    <t>Pedido 450001241</t>
  </si>
  <si>
    <t>500000482</t>
  </si>
  <si>
    <t>OS 70001241</t>
  </si>
  <si>
    <t>500000483</t>
  </si>
  <si>
    <t>Pedido 450001242</t>
  </si>
  <si>
    <t>500000484</t>
  </si>
  <si>
    <t>OS 70001242</t>
  </si>
  <si>
    <t>500000485</t>
  </si>
  <si>
    <t>Pedido 450001243</t>
  </si>
  <si>
    <t>500000486</t>
  </si>
  <si>
    <t>OS 70001243</t>
  </si>
  <si>
    <t>500000487</t>
  </si>
  <si>
    <t>Pedido 450001244</t>
  </si>
  <si>
    <t>500000488</t>
  </si>
  <si>
    <t>OS 70001244</t>
  </si>
  <si>
    <t>500000489</t>
  </si>
  <si>
    <t>Pedido 450001245</t>
  </si>
  <si>
    <t>500000490</t>
  </si>
  <si>
    <t>OS 70001245</t>
  </si>
  <si>
    <t>500000491</t>
  </si>
  <si>
    <t>Pedido 450001246</t>
  </si>
  <si>
    <t>500000492</t>
  </si>
  <si>
    <t>OS 70001246</t>
  </si>
  <si>
    <t>500000493</t>
  </si>
  <si>
    <t>Pedido 450001247</t>
  </si>
  <si>
    <t>500000494</t>
  </si>
  <si>
    <t>OS 70001247</t>
  </si>
  <si>
    <t>500000495</t>
  </si>
  <si>
    <t>Pedido 450001248</t>
  </si>
  <si>
    <t>500000496</t>
  </si>
  <si>
    <t>OS 70001248</t>
  </si>
  <si>
    <t>500000497</t>
  </si>
  <si>
    <t>Pedido 450001249</t>
  </si>
  <si>
    <t>500000498</t>
  </si>
  <si>
    <t>OS 70001249</t>
  </si>
  <si>
    <t>500000499</t>
  </si>
  <si>
    <t>Pedido 450001250</t>
  </si>
  <si>
    <t>500000500</t>
  </si>
  <si>
    <t>OS 70001250</t>
  </si>
  <si>
    <t>500000501</t>
  </si>
  <si>
    <t>Pedido 450001251</t>
  </si>
  <si>
    <t>500000502</t>
  </si>
  <si>
    <t>OS 70001251</t>
  </si>
  <si>
    <t>500000503</t>
  </si>
  <si>
    <t>Pedido 450001252</t>
  </si>
  <si>
    <t>500000504</t>
  </si>
  <si>
    <t>OS 70001252</t>
  </si>
  <si>
    <t>500000505</t>
  </si>
  <si>
    <t>Pedido 450001253</t>
  </si>
  <si>
    <t>500000506</t>
  </si>
  <si>
    <t>OS 70001253</t>
  </si>
  <si>
    <t>500000507</t>
  </si>
  <si>
    <t>Pedido 450001254</t>
  </si>
  <si>
    <t>500000508</t>
  </si>
  <si>
    <t>OS 70001254</t>
  </si>
  <si>
    <t>500000509</t>
  </si>
  <si>
    <t>Pedido 450001255</t>
  </si>
  <si>
    <t>500000510</t>
  </si>
  <si>
    <t>OS 70001255</t>
  </si>
  <si>
    <t>500000511</t>
  </si>
  <si>
    <t>Pedido 450001256</t>
  </si>
  <si>
    <t>500000512</t>
  </si>
  <si>
    <t>OS 70001256</t>
  </si>
  <si>
    <t>500000513</t>
  </si>
  <si>
    <t>Pedido 450001257</t>
  </si>
  <si>
    <t>500000514</t>
  </si>
  <si>
    <t>OS 70001257</t>
  </si>
  <si>
    <t>500000515</t>
  </si>
  <si>
    <t>Pedido 450001258</t>
  </si>
  <si>
    <t>500000516</t>
  </si>
  <si>
    <t>OS 70001258</t>
  </si>
  <si>
    <t>500000517</t>
  </si>
  <si>
    <t>Pedido 450001259</t>
  </si>
  <si>
    <t>500000518</t>
  </si>
  <si>
    <t>OS 70001259</t>
  </si>
  <si>
    <t>500000519</t>
  </si>
  <si>
    <t>Pedido 450001260</t>
  </si>
  <si>
    <t>500000520</t>
  </si>
  <si>
    <t>OS 70001260</t>
  </si>
  <si>
    <t>500000521</t>
  </si>
  <si>
    <t>Pedido 450001261</t>
  </si>
  <si>
    <t>500000522</t>
  </si>
  <si>
    <t>OS 70001261</t>
  </si>
  <si>
    <t>500000523</t>
  </si>
  <si>
    <t>Pedido 450001262</t>
  </si>
  <si>
    <t>500000524</t>
  </si>
  <si>
    <t>OS 70001262</t>
  </si>
  <si>
    <t>500000525</t>
  </si>
  <si>
    <t>Pedido 450001263</t>
  </si>
  <si>
    <t>500000526</t>
  </si>
  <si>
    <t>OS 70001263</t>
  </si>
  <si>
    <t>500000527</t>
  </si>
  <si>
    <t>Pedido 450001264</t>
  </si>
  <si>
    <t>500000528</t>
  </si>
  <si>
    <t>OS 70001264</t>
  </si>
  <si>
    <t>500000529</t>
  </si>
  <si>
    <t>Pedido 450001265</t>
  </si>
  <si>
    <t>500000530</t>
  </si>
  <si>
    <t>OS 70001265</t>
  </si>
  <si>
    <t>500000531</t>
  </si>
  <si>
    <t>Pedido 450001266</t>
  </si>
  <si>
    <t>500000532</t>
  </si>
  <si>
    <t>OS 70001266</t>
  </si>
  <si>
    <t>500000533</t>
  </si>
  <si>
    <t>Pedido 450001267</t>
  </si>
  <si>
    <t>500000534</t>
  </si>
  <si>
    <t>OS 70001267</t>
  </si>
  <si>
    <t>500000535</t>
  </si>
  <si>
    <t>Pedido 450001268</t>
  </si>
  <si>
    <t>500000536</t>
  </si>
  <si>
    <t>OS 70001268</t>
  </si>
  <si>
    <t>500000537</t>
  </si>
  <si>
    <t>Pedido 450001269</t>
  </si>
  <si>
    <t>500000538</t>
  </si>
  <si>
    <t>OS 70001269</t>
  </si>
  <si>
    <t>500000539</t>
  </si>
  <si>
    <t>Pedido 450001270</t>
  </si>
  <si>
    <t>500000540</t>
  </si>
  <si>
    <t>OS 70001270</t>
  </si>
  <si>
    <t>500000541</t>
  </si>
  <si>
    <t>Pedido 450001271</t>
  </si>
  <si>
    <t>500000542</t>
  </si>
  <si>
    <t>OS 70001271</t>
  </si>
  <si>
    <t>500000543</t>
  </si>
  <si>
    <t>Pedido 450001272</t>
  </si>
  <si>
    <t>500000544</t>
  </si>
  <si>
    <t>OS 70001272</t>
  </si>
  <si>
    <t>500000545</t>
  </si>
  <si>
    <t>Pedido 450001273</t>
  </si>
  <si>
    <t>500000546</t>
  </si>
  <si>
    <t>OS 70001273</t>
  </si>
  <si>
    <t>500000547</t>
  </si>
  <si>
    <t>Pedido 450001274</t>
  </si>
  <si>
    <t>500000548</t>
  </si>
  <si>
    <t>OS 70001274</t>
  </si>
  <si>
    <t>500000549</t>
  </si>
  <si>
    <t>Pedido 450001275</t>
  </si>
  <si>
    <t>500000550</t>
  </si>
  <si>
    <t>OS 70001275</t>
  </si>
  <si>
    <t>500000551</t>
  </si>
  <si>
    <t>Pedido 450001276</t>
  </si>
  <si>
    <t>500000552</t>
  </si>
  <si>
    <t>OS 70001276</t>
  </si>
  <si>
    <t>500000553</t>
  </si>
  <si>
    <t>Pedido 450001277</t>
  </si>
  <si>
    <t>500000554</t>
  </si>
  <si>
    <t>OS 70001277</t>
  </si>
  <si>
    <t>500000555</t>
  </si>
  <si>
    <t>Pedido 450001278</t>
  </si>
  <si>
    <t>500000556</t>
  </si>
  <si>
    <t>OS 70001278</t>
  </si>
  <si>
    <t>500000557</t>
  </si>
  <si>
    <t>Pedido 450001279</t>
  </si>
  <si>
    <t>500000558</t>
  </si>
  <si>
    <t>OS 70001279</t>
  </si>
  <si>
    <t>500000559</t>
  </si>
  <si>
    <t>Pedido 450001280</t>
  </si>
  <si>
    <t>500000560</t>
  </si>
  <si>
    <t>OS 70001280</t>
  </si>
  <si>
    <t>500000561</t>
  </si>
  <si>
    <t>Pedido 450001281</t>
  </si>
  <si>
    <t>500000562</t>
  </si>
  <si>
    <t>OS 70001281</t>
  </si>
  <si>
    <t>500000563</t>
  </si>
  <si>
    <t>Pedido 450001282</t>
  </si>
  <si>
    <t>500000564</t>
  </si>
  <si>
    <t>OS 70001282</t>
  </si>
  <si>
    <t>500000565</t>
  </si>
  <si>
    <t>Pedido 450001283</t>
  </si>
  <si>
    <t>500000566</t>
  </si>
  <si>
    <t>OS 70001283</t>
  </si>
  <si>
    <t>500000567</t>
  </si>
  <si>
    <t>Pedido 450001284</t>
  </si>
  <si>
    <t>500000568</t>
  </si>
  <si>
    <t>OS 70001284</t>
  </si>
  <si>
    <t>500000569</t>
  </si>
  <si>
    <t>Pedido 450001285</t>
  </si>
  <si>
    <t>500000570</t>
  </si>
  <si>
    <t>OS 70001285</t>
  </si>
  <si>
    <t>500000571</t>
  </si>
  <si>
    <t>Pedido 450001286</t>
  </si>
  <si>
    <t>500000572</t>
  </si>
  <si>
    <t>OS 70001286</t>
  </si>
  <si>
    <t>500000573</t>
  </si>
  <si>
    <t>Pedido 450001287</t>
  </si>
  <si>
    <t>500000574</t>
  </si>
  <si>
    <t>OS 70001287</t>
  </si>
  <si>
    <t>500000575</t>
  </si>
  <si>
    <t>Pedido 450001288</t>
  </si>
  <si>
    <t>500000576</t>
  </si>
  <si>
    <t>OS 70001288</t>
  </si>
  <si>
    <t>500000577</t>
  </si>
  <si>
    <t>Pedido 450001289</t>
  </si>
  <si>
    <t>500000578</t>
  </si>
  <si>
    <t>OS 70001289</t>
  </si>
  <si>
    <t>500000579</t>
  </si>
  <si>
    <t>Pedido 450001290</t>
  </si>
  <si>
    <t>500000580</t>
  </si>
  <si>
    <t>OS 70001290</t>
  </si>
  <si>
    <t>500000581</t>
  </si>
  <si>
    <t>Pedido 450001291</t>
  </si>
  <si>
    <t>500000582</t>
  </si>
  <si>
    <t>OS 70001291</t>
  </si>
  <si>
    <t>500000583</t>
  </si>
  <si>
    <t>Pedido 450001292</t>
  </si>
  <si>
    <t>500000584</t>
  </si>
  <si>
    <t>OS 70001292</t>
  </si>
  <si>
    <t>500000585</t>
  </si>
  <si>
    <t>Pedido 450001293</t>
  </si>
  <si>
    <t>500000586</t>
  </si>
  <si>
    <t>OS 70001293</t>
  </si>
  <si>
    <t>500000587</t>
  </si>
  <si>
    <t>Pedido 450001294</t>
  </si>
  <si>
    <t>500000588</t>
  </si>
  <si>
    <t>OS 70001294</t>
  </si>
  <si>
    <t>500000589</t>
  </si>
  <si>
    <t>Pedido 450001295</t>
  </si>
  <si>
    <t>500000590</t>
  </si>
  <si>
    <t>OS 70001295</t>
  </si>
  <si>
    <t>500000591</t>
  </si>
  <si>
    <t>Pedido 450001296</t>
  </si>
  <si>
    <t>500000592</t>
  </si>
  <si>
    <t>OS 70001296</t>
  </si>
  <si>
    <t>500000593</t>
  </si>
  <si>
    <t>Pedido 450001297</t>
  </si>
  <si>
    <t>500000594</t>
  </si>
  <si>
    <t>OS 70001297</t>
  </si>
  <si>
    <t>500000595</t>
  </si>
  <si>
    <t>Pedido 450001298</t>
  </si>
  <si>
    <t>500000596</t>
  </si>
  <si>
    <t>OS 70001298</t>
  </si>
  <si>
    <t>500000597</t>
  </si>
  <si>
    <t>Pedido 450001299</t>
  </si>
  <si>
    <t>500000598</t>
  </si>
  <si>
    <t>OS 70001299</t>
  </si>
  <si>
    <t>500000599</t>
  </si>
  <si>
    <t>Pedido 450001300</t>
  </si>
  <si>
    <t>500000600</t>
  </si>
  <si>
    <t>OS 70001300</t>
  </si>
  <si>
    <t>500000601</t>
  </si>
  <si>
    <t>Pedido 450001301</t>
  </si>
  <si>
    <t>500000602</t>
  </si>
  <si>
    <t>OS 70001301</t>
  </si>
  <si>
    <t>500000603</t>
  </si>
  <si>
    <t>Pedido 450001302</t>
  </si>
  <si>
    <t>500000604</t>
  </si>
  <si>
    <t>OS 70001302</t>
  </si>
  <si>
    <t>500000605</t>
  </si>
  <si>
    <t>Pedido 450001303</t>
  </si>
  <si>
    <t>500000606</t>
  </si>
  <si>
    <t>OS 70001303</t>
  </si>
  <si>
    <t>500000607</t>
  </si>
  <si>
    <t>Pedido 450001304</t>
  </si>
  <si>
    <t>500000608</t>
  </si>
  <si>
    <t>OS 70001304</t>
  </si>
  <si>
    <t>500000609</t>
  </si>
  <si>
    <t>Pedido 450001305</t>
  </si>
  <si>
    <t>500000610</t>
  </si>
  <si>
    <t>OS 70001305</t>
  </si>
  <si>
    <t>500000611</t>
  </si>
  <si>
    <t>Pedido 450001306</t>
  </si>
  <si>
    <t>500000612</t>
  </si>
  <si>
    <t>OS 70001306</t>
  </si>
  <si>
    <t>500000613</t>
  </si>
  <si>
    <t>Pedido 450001307</t>
  </si>
  <si>
    <t>500000614</t>
  </si>
  <si>
    <t>OS 70001307</t>
  </si>
  <si>
    <t>500000615</t>
  </si>
  <si>
    <t>Pedido 450001308</t>
  </si>
  <si>
    <t>500000616</t>
  </si>
  <si>
    <t>OS 70001308</t>
  </si>
  <si>
    <t>500000617</t>
  </si>
  <si>
    <t>Pedido 450001309</t>
  </si>
  <si>
    <t>500000618</t>
  </si>
  <si>
    <t>OS 70001309</t>
  </si>
  <si>
    <t>500000619</t>
  </si>
  <si>
    <t>Pedido 450001310</t>
  </si>
  <si>
    <t>500000620</t>
  </si>
  <si>
    <t>OS 70001310</t>
  </si>
  <si>
    <t>500000621</t>
  </si>
  <si>
    <t>Pedido 450001311</t>
  </si>
  <si>
    <t>500000622</t>
  </si>
  <si>
    <t>OS 70001311</t>
  </si>
  <si>
    <t>500000623</t>
  </si>
  <si>
    <t>Pedido 450001312</t>
  </si>
  <si>
    <t>500000624</t>
  </si>
  <si>
    <t>OS 70001312</t>
  </si>
  <si>
    <t>500000625</t>
  </si>
  <si>
    <t>Pedido 450001313</t>
  </si>
  <si>
    <t>500000626</t>
  </si>
  <si>
    <t>OS 70001313</t>
  </si>
  <si>
    <t>500000627</t>
  </si>
  <si>
    <t>Pedido 450001314</t>
  </si>
  <si>
    <t>500000628</t>
  </si>
  <si>
    <t>OS 70001314</t>
  </si>
  <si>
    <t>500000629</t>
  </si>
  <si>
    <t>Pedido 450001315</t>
  </si>
  <si>
    <t>500000630</t>
  </si>
  <si>
    <t>OS 70001315</t>
  </si>
  <si>
    <t>500000631</t>
  </si>
  <si>
    <t>Pedido 450001316</t>
  </si>
  <si>
    <t>500000632</t>
  </si>
  <si>
    <t>OS 70001316</t>
  </si>
  <si>
    <t>500000633</t>
  </si>
  <si>
    <t>Pedido 450001317</t>
  </si>
  <si>
    <t>500000634</t>
  </si>
  <si>
    <t>OS 70001317</t>
  </si>
  <si>
    <t>500000635</t>
  </si>
  <si>
    <t>Pedido 450001318</t>
  </si>
  <si>
    <t>500000636</t>
  </si>
  <si>
    <t>OS 70001318</t>
  </si>
  <si>
    <t>500000637</t>
  </si>
  <si>
    <t>Pedido 450001319</t>
  </si>
  <si>
    <t>500000638</t>
  </si>
  <si>
    <t>OS 70001319</t>
  </si>
  <si>
    <t>500000639</t>
  </si>
  <si>
    <t>Pedido 450001320</t>
  </si>
  <si>
    <t>500000640</t>
  </si>
  <si>
    <t>OS 70001320</t>
  </si>
  <si>
    <t>500000641</t>
  </si>
  <si>
    <t>Pedido 450001321</t>
  </si>
  <si>
    <t>500000642</t>
  </si>
  <si>
    <t>OS 70001321</t>
  </si>
  <si>
    <t>500000643</t>
  </si>
  <si>
    <t>Pedido 450001322</t>
  </si>
  <si>
    <t>500000644</t>
  </si>
  <si>
    <t>OS 70001322</t>
  </si>
  <si>
    <t>500000645</t>
  </si>
  <si>
    <t>Pedido 450001323</t>
  </si>
  <si>
    <t>500000646</t>
  </si>
  <si>
    <t>OS 70001323</t>
  </si>
  <si>
    <t>500000647</t>
  </si>
  <si>
    <t>Pedido 450001324</t>
  </si>
  <si>
    <t>500000648</t>
  </si>
  <si>
    <t>OS 70001324</t>
  </si>
  <si>
    <t>500000649</t>
  </si>
  <si>
    <t>Pedido 450001325</t>
  </si>
  <si>
    <t>500000650</t>
  </si>
  <si>
    <t>OS 70001325</t>
  </si>
  <si>
    <t>500000651</t>
  </si>
  <si>
    <t>Pedido 450001326</t>
  </si>
  <si>
    <t>500000652</t>
  </si>
  <si>
    <t>OS 70001326</t>
  </si>
  <si>
    <t>500000653</t>
  </si>
  <si>
    <t>Pedido 450001327</t>
  </si>
  <si>
    <t>500000654</t>
  </si>
  <si>
    <t>OS 70001327</t>
  </si>
  <si>
    <t>500000655</t>
  </si>
  <si>
    <t>Pedido 450001328</t>
  </si>
  <si>
    <t>500000656</t>
  </si>
  <si>
    <t>OS 70001328</t>
  </si>
  <si>
    <t>500000657</t>
  </si>
  <si>
    <t>Pedido 450001329</t>
  </si>
  <si>
    <t>500000658</t>
  </si>
  <si>
    <t>OS 70001329</t>
  </si>
  <si>
    <t>500000659</t>
  </si>
  <si>
    <t>Pedido 450001330</t>
  </si>
  <si>
    <t>500000660</t>
  </si>
  <si>
    <t>OS 70001330</t>
  </si>
  <si>
    <t>500000661</t>
  </si>
  <si>
    <t>Pedido 450001331</t>
  </si>
  <si>
    <t>500000662</t>
  </si>
  <si>
    <t>OS 70001331</t>
  </si>
  <si>
    <t>500000663</t>
  </si>
  <si>
    <t>Pedido 450001332</t>
  </si>
  <si>
    <t>500000664</t>
  </si>
  <si>
    <t>OS 70001332</t>
  </si>
  <si>
    <t>500000665</t>
  </si>
  <si>
    <t>Pedido 450001333</t>
  </si>
  <si>
    <t>500000666</t>
  </si>
  <si>
    <t>OS 70001333</t>
  </si>
  <si>
    <t>500000667</t>
  </si>
  <si>
    <t>Pedido 450001334</t>
  </si>
  <si>
    <t>500000668</t>
  </si>
  <si>
    <t>OS 70001334</t>
  </si>
  <si>
    <t>500000669</t>
  </si>
  <si>
    <t>Pedido 450001335</t>
  </si>
  <si>
    <t>500000670</t>
  </si>
  <si>
    <t>OS 70001335</t>
  </si>
  <si>
    <t>500000671</t>
  </si>
  <si>
    <t>Pedido 450001336</t>
  </si>
  <si>
    <t>500000672</t>
  </si>
  <si>
    <t>OS 70001336</t>
  </si>
  <si>
    <t>500000673</t>
  </si>
  <si>
    <t>Pedido 450001337</t>
  </si>
  <si>
    <t>500000674</t>
  </si>
  <si>
    <t>OS 70001337</t>
  </si>
  <si>
    <t>500000675</t>
  </si>
  <si>
    <t>Pedido 450001338</t>
  </si>
  <si>
    <t>500000676</t>
  </si>
  <si>
    <t>OS 70001338</t>
  </si>
  <si>
    <t>500000677</t>
  </si>
  <si>
    <t>Pedido 450001339</t>
  </si>
  <si>
    <t>500000678</t>
  </si>
  <si>
    <t>OS 70001339</t>
  </si>
  <si>
    <t>500000679</t>
  </si>
  <si>
    <t>Pedido 450001340</t>
  </si>
  <si>
    <t>500000680</t>
  </si>
  <si>
    <t>OS 70001340</t>
  </si>
  <si>
    <t>500000681</t>
  </si>
  <si>
    <t>Pedido 450001341</t>
  </si>
  <si>
    <t>500000682</t>
  </si>
  <si>
    <t>OS 70001341</t>
  </si>
  <si>
    <t>500000683</t>
  </si>
  <si>
    <t>Pedido 450001342</t>
  </si>
  <si>
    <t>500000684</t>
  </si>
  <si>
    <t>OS 70001342</t>
  </si>
  <si>
    <t>500000685</t>
  </si>
  <si>
    <t>Pedido 450001343</t>
  </si>
  <si>
    <t>500000686</t>
  </si>
  <si>
    <t>OS 70001343</t>
  </si>
  <si>
    <t>500000687</t>
  </si>
  <si>
    <t>Pedido 450001344</t>
  </si>
  <si>
    <t>500000688</t>
  </si>
  <si>
    <t>OS 70001344</t>
  </si>
  <si>
    <t>500000689</t>
  </si>
  <si>
    <t>Pedido 450001345</t>
  </si>
  <si>
    <t>500000690</t>
  </si>
  <si>
    <t>OS 70001345</t>
  </si>
  <si>
    <t>500000691</t>
  </si>
  <si>
    <t>Pedido 450001346</t>
  </si>
  <si>
    <t>500000692</t>
  </si>
  <si>
    <t>OS 70001346</t>
  </si>
  <si>
    <t>500000693</t>
  </si>
  <si>
    <t>Pedido 450001347</t>
  </si>
  <si>
    <t>500000694</t>
  </si>
  <si>
    <t>OS 70001347</t>
  </si>
  <si>
    <t>500000695</t>
  </si>
  <si>
    <t>Pedido 450001348</t>
  </si>
  <si>
    <t>500000696</t>
  </si>
  <si>
    <t>OS 70001348</t>
  </si>
  <si>
    <t>500000697</t>
  </si>
  <si>
    <t>Pedido 450001349</t>
  </si>
  <si>
    <t>500000698</t>
  </si>
  <si>
    <t>OS 70001349</t>
  </si>
  <si>
    <t>500000699</t>
  </si>
  <si>
    <t>Pedido 450001350</t>
  </si>
  <si>
    <t>500000700</t>
  </si>
  <si>
    <t>OS 70001350</t>
  </si>
  <si>
    <t>500000701</t>
  </si>
  <si>
    <t>Pedido 450001351</t>
  </si>
  <si>
    <t>500000702</t>
  </si>
  <si>
    <t>OS 70001351</t>
  </si>
  <si>
    <t>500000703</t>
  </si>
  <si>
    <t>Pedido 450001352</t>
  </si>
  <si>
    <t>500000704</t>
  </si>
  <si>
    <t>OS 70001352</t>
  </si>
  <si>
    <t>500000705</t>
  </si>
  <si>
    <t>Pedido 450001353</t>
  </si>
  <si>
    <t>500000706</t>
  </si>
  <si>
    <t>OS 70001353</t>
  </si>
  <si>
    <t>500000707</t>
  </si>
  <si>
    <t>Pedido 450001354</t>
  </si>
  <si>
    <t>500000708</t>
  </si>
  <si>
    <t>OS 70001354</t>
  </si>
  <si>
    <t>500000709</t>
  </si>
  <si>
    <t>Pedido 450001355</t>
  </si>
  <si>
    <t>500000710</t>
  </si>
  <si>
    <t>OS 70001355</t>
  </si>
  <si>
    <t>500000711</t>
  </si>
  <si>
    <t>Pedido 450001356</t>
  </si>
  <si>
    <t>500000712</t>
  </si>
  <si>
    <t>OS 70001356</t>
  </si>
  <si>
    <t>500000713</t>
  </si>
  <si>
    <t>Pedido 450001357</t>
  </si>
  <si>
    <t>500000714</t>
  </si>
  <si>
    <t>OS 70001357</t>
  </si>
  <si>
    <t>500000715</t>
  </si>
  <si>
    <t>Pedido 450001358</t>
  </si>
  <si>
    <t>500000716</t>
  </si>
  <si>
    <t>OS 70001358</t>
  </si>
  <si>
    <t>500000717</t>
  </si>
  <si>
    <t>Pedido 450001359</t>
  </si>
  <si>
    <t>500000718</t>
  </si>
  <si>
    <t>OS 70001359</t>
  </si>
  <si>
    <t>500000719</t>
  </si>
  <si>
    <t>Pedido 450001360</t>
  </si>
  <si>
    <t>500000720</t>
  </si>
  <si>
    <t>OS 70001360</t>
  </si>
  <si>
    <t>Consumo Medio Diário</t>
  </si>
  <si>
    <t>Lead Time</t>
  </si>
  <si>
    <t>FORN-001</t>
  </si>
  <si>
    <t>FORN-002</t>
  </si>
  <si>
    <t>FORN-003</t>
  </si>
  <si>
    <t>WEG Equipamentos Eletricos</t>
  </si>
  <si>
    <t>FORN-004</t>
  </si>
  <si>
    <t>Parker Hannifin Ind. e Com.</t>
  </si>
  <si>
    <t>FORN-005</t>
  </si>
  <si>
    <t>Continental Correias Ind.</t>
  </si>
  <si>
    <t>Cod</t>
  </si>
  <si>
    <t>Lote Reposição</t>
  </si>
  <si>
    <t>MATRIZ ABC XYZ</t>
  </si>
  <si>
    <t>Cod Fornecedor</t>
  </si>
  <si>
    <t>Cod Material</t>
  </si>
  <si>
    <t>Pedido</t>
  </si>
  <si>
    <t>Requisição</t>
  </si>
  <si>
    <t>Contagem de Requisição</t>
  </si>
  <si>
    <t>Contagem de Pedido</t>
  </si>
  <si>
    <t>Entre 1 e 89 dias</t>
  </si>
  <si>
    <t>DASHBOARD EXECUTIVO — GESTAO DE MATERIAIS</t>
  </si>
  <si>
    <t>COMPRAS EM ABERTO</t>
  </si>
  <si>
    <t>CRITICO REFAZER</t>
  </si>
  <si>
    <t>CONFERIR ABAS MATERIAIS</t>
  </si>
  <si>
    <t>GIRO DE ESTOQUE</t>
  </si>
  <si>
    <t>COBERTURA</t>
  </si>
  <si>
    <t>Giro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</si>
</sst>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 &quot;#,##0"/>
    <numFmt numFmtId="165" formatCode="0.0%"/>
    <numFmt numFmtId="166" formatCode="&quot;R$ &quot;#,##0.00"/>
    <numFmt numFmtId="167" formatCode="dd/mm/yy;@"/>
    <numFmt numFmtId="168" formatCode="\R\$\ #,##0.00"/>
    <numFmt numFmtId="169" formatCode="0.0"/>
    <numFmt numFmtId="170" formatCode="&quot;R$&quot;\ #,##0"/>
    <numFmt numFmtId="171" formatCode="0.000"/>
  </numFmts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b/>
      <sz val="20"/>
      <color rgb="FFFFFFFF"/>
      <name val="Calibri"/>
      <charset val="1"/>
    </font>
    <font>
      <i/>
      <sz val="8"/>
      <color rgb="FF808080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rgb="FFFFFFFF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b/>
      <sz val="11"/>
      <color rgb="FFFFFFFF"/>
      <name val="Calibri"/>
      <family val="2"/>
    </font>
    <font>
      <b/>
      <sz val="18"/>
      <color theme="0"/>
      <name val="Calibri"/>
      <family val="2"/>
    </font>
    <font>
      <sz val="8"/>
      <name val="Calibri"/>
      <family val="2"/>
      <charset val="1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sz val="10"/>
      <name val="Calibri"/>
      <family val="2"/>
    </font>
    <font>
      <b/>
      <sz val="26"/>
      <color rgb="FFFFFFFF"/>
      <name val="Calibri"/>
      <family val="2"/>
    </font>
    <font>
      <b/>
      <sz val="20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5"/>
      <color rgb="FFFFFFFF"/>
      <name val="Calibri"/>
      <family val="2"/>
    </font>
    <font>
      <b/>
      <sz val="9"/>
      <color rgb="FFFFFFFF"/>
      <name val="Calibri"/>
      <family val="2"/>
    </font>
    <font>
      <b/>
      <sz val="30"/>
      <color rgb="FFFFFFFF"/>
      <name val="Calibri"/>
      <family val="2"/>
    </font>
    <font>
      <b/>
      <sz val="28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D9E2F3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9FAFB"/>
        <bgColor rgb="FFF9FAFB"/>
      </patternFill>
    </fill>
    <fill>
      <patternFill patternType="solid">
        <fgColor theme="6" tint="-0.499984740745262"/>
        <bgColor rgb="FF2E5395"/>
      </patternFill>
    </fill>
    <fill>
      <patternFill patternType="solid">
        <fgColor theme="6" tint="-0.499984740745262"/>
        <bgColor rgb="FF808000"/>
      </patternFill>
    </fill>
    <fill>
      <patternFill patternType="solid">
        <fgColor rgb="FFFFC000"/>
        <bgColor rgb="FF800000"/>
      </patternFill>
    </fill>
    <fill>
      <patternFill patternType="solid">
        <fgColor rgb="FFFFC000"/>
        <bgColor rgb="FF2E5395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rgb="FF808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3" borderId="1" xfId="0" applyFont="1" applyFill="1" applyBorder="1"/>
    <xf numFmtId="164" fontId="3" fillId="0" borderId="0" xfId="0" applyNumberFormat="1" applyFont="1"/>
    <xf numFmtId="0" fontId="7" fillId="2" borderId="2" xfId="0" applyFont="1" applyFill="1" applyBorder="1" applyAlignment="1">
      <alignment horizontal="center" vertical="center" wrapText="1"/>
    </xf>
    <xf numFmtId="0" fontId="12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3" fontId="0" fillId="0" borderId="4" xfId="0" applyNumberFormat="1" applyBorder="1" applyAlignment="1">
      <alignment horizontal="right"/>
    </xf>
    <xf numFmtId="168" fontId="0" fillId="0" borderId="4" xfId="0" applyNumberFormat="1" applyBorder="1" applyAlignment="1">
      <alignment horizontal="right"/>
    </xf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3" fontId="0" fillId="5" borderId="4" xfId="0" applyNumberFormat="1" applyFill="1" applyBorder="1" applyAlignment="1">
      <alignment horizontal="right"/>
    </xf>
    <xf numFmtId="168" fontId="0" fillId="5" borderId="4" xfId="0" applyNumberFormat="1" applyFill="1" applyBorder="1" applyAlignment="1">
      <alignment horizontal="right"/>
    </xf>
    <xf numFmtId="14" fontId="0" fillId="0" borderId="4" xfId="0" applyNumberFormat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0" fontId="12" fillId="4" borderId="4" xfId="0" applyFont="1" applyFill="1" applyBorder="1" applyAlignment="1">
      <alignment horizontal="left"/>
    </xf>
    <xf numFmtId="0" fontId="12" fillId="5" borderId="4" xfId="0" applyFont="1" applyFill="1" applyBorder="1" applyAlignment="1">
      <alignment horizontal="left"/>
    </xf>
    <xf numFmtId="0" fontId="0" fillId="5" borderId="5" xfId="0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right"/>
    </xf>
    <xf numFmtId="0" fontId="13" fillId="2" borderId="6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14" fontId="7" fillId="2" borderId="2" xfId="0" applyNumberFormat="1" applyFont="1" applyFill="1" applyBorder="1" applyAlignment="1">
      <alignment horizontal="center" vertical="center" wrapText="1"/>
    </xf>
    <xf numFmtId="14" fontId="12" fillId="0" borderId="3" xfId="0" applyNumberFormat="1" applyFont="1" applyBorder="1"/>
    <xf numFmtId="164" fontId="5" fillId="11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12" borderId="0" xfId="0" applyFill="1"/>
    <xf numFmtId="164" fontId="20" fillId="11" borderId="0" xfId="0" applyNumberFormat="1" applyFont="1" applyFill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19" fillId="10" borderId="14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0" fontId="6" fillId="0" borderId="0" xfId="0" applyFont="1"/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9" fontId="5" fillId="7" borderId="9" xfId="0" applyNumberFormat="1" applyFont="1" applyFill="1" applyBorder="1" applyAlignment="1">
      <alignment horizontal="center" vertical="center"/>
    </xf>
    <xf numFmtId="9" fontId="5" fillId="7" borderId="10" xfId="0" applyNumberFormat="1" applyFont="1" applyFill="1" applyBorder="1" applyAlignment="1">
      <alignment horizontal="center" vertical="center"/>
    </xf>
    <xf numFmtId="9" fontId="5" fillId="7" borderId="11" xfId="0" applyNumberFormat="1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164" fontId="14" fillId="8" borderId="9" xfId="0" applyNumberFormat="1" applyFont="1" applyFill="1" applyBorder="1" applyAlignment="1">
      <alignment horizontal="center" vertical="center"/>
    </xf>
    <xf numFmtId="164" fontId="14" fillId="8" borderId="10" xfId="0" applyNumberFormat="1" applyFont="1" applyFill="1" applyBorder="1" applyAlignment="1">
      <alignment horizontal="center" vertical="center"/>
    </xf>
    <xf numFmtId="164" fontId="14" fillId="8" borderId="11" xfId="0" applyNumberFormat="1" applyFont="1" applyFill="1" applyBorder="1" applyAlignment="1">
      <alignment horizontal="center" vertical="center"/>
    </xf>
    <xf numFmtId="164" fontId="14" fillId="8" borderId="12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170" fontId="17" fillId="6" borderId="9" xfId="0" applyNumberFormat="1" applyFont="1" applyFill="1" applyBorder="1" applyAlignment="1">
      <alignment horizontal="center" vertical="center"/>
    </xf>
    <xf numFmtId="170" fontId="17" fillId="6" borderId="10" xfId="0" applyNumberFormat="1" applyFont="1" applyFill="1" applyBorder="1" applyAlignment="1">
      <alignment horizontal="center" vertical="center"/>
    </xf>
    <xf numFmtId="170" fontId="17" fillId="6" borderId="11" xfId="0" applyNumberFormat="1" applyFont="1" applyFill="1" applyBorder="1" applyAlignment="1">
      <alignment horizontal="center" vertical="center"/>
    </xf>
    <xf numFmtId="170" fontId="17" fillId="6" borderId="12" xfId="0" applyNumberFormat="1" applyFont="1" applyFill="1" applyBorder="1" applyAlignment="1">
      <alignment horizontal="center" vertical="center"/>
    </xf>
    <xf numFmtId="170" fontId="5" fillId="7" borderId="9" xfId="0" applyNumberFormat="1" applyFont="1" applyFill="1" applyBorder="1" applyAlignment="1">
      <alignment horizontal="center" vertical="center"/>
    </xf>
    <xf numFmtId="170" fontId="5" fillId="7" borderId="10" xfId="0" applyNumberFormat="1" applyFont="1" applyFill="1" applyBorder="1" applyAlignment="1">
      <alignment horizontal="center" vertical="center"/>
    </xf>
    <xf numFmtId="170" fontId="5" fillId="7" borderId="11" xfId="0" applyNumberFormat="1" applyFont="1" applyFill="1" applyBorder="1" applyAlignment="1">
      <alignment horizontal="center" vertical="center"/>
    </xf>
    <xf numFmtId="170" fontId="5" fillId="7" borderId="12" xfId="0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8" fillId="2" borderId="0" xfId="0" applyFont="1" applyFill="1"/>
    <xf numFmtId="0" fontId="0" fillId="0" borderId="0" xfId="0" applyNumberFormat="1"/>
    <xf numFmtId="0" fontId="25" fillId="10" borderId="9" xfId="0" applyFont="1" applyFill="1" applyBorder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12" xfId="0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37">
    <dxf>
      <numFmt numFmtId="0" formatCode="General"/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FC000"/>
        </patternFill>
      </fill>
    </dxf>
    <dxf>
      <fill>
        <patternFill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9" formatCode="dd/mm/yyyy"/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9" formatCode="dd/mm/yyyy"/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8" formatCode="\R\$\ #,##0.0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8" formatCode="\R\$\ #,##0.0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9" formatCode="dd/mm/yyyy"/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2E5395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9" formatCode="dd/mm/yyyy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2E5395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0" formatCode="General"/>
    </dxf>
    <dxf>
      <numFmt numFmtId="167" formatCode="dd/mm/yy;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9F9F9"/>
      <rgbColor rgb="FFD9E2F3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B84"/>
      <rgbColor rgb="FF99CCFF"/>
      <rgbColor rgb="FFFF99CC"/>
      <rgbColor rgb="FFCC99FF"/>
      <rgbColor rgb="FFFFCC99"/>
      <rgbColor rgb="FF4F81BD"/>
      <rgbColor rgb="FF33CCCC"/>
      <rgbColor rgb="FF9BBB59"/>
      <rgbColor rgb="FFFFC000"/>
      <rgbColor rgb="FFBF8F00"/>
      <rgbColor rgb="FFC55A11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em Estoque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Indicadores!$B$2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2E53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Indicadores!$A$3:$A$12</c:f>
              <c:strCache>
                <c:ptCount val="10"/>
                <c:pt idx="0">
                  <c:v>Rolamentos</c:v>
                </c:pt>
                <c:pt idx="1">
                  <c:v>Estrutural</c:v>
                </c:pt>
                <c:pt idx="2">
                  <c:v>Eletrico</c:v>
                </c:pt>
                <c:pt idx="3">
                  <c:v>Correias e Polias</c:v>
                </c:pt>
                <c:pt idx="4">
                  <c:v>Fixacao</c:v>
                </c:pt>
                <c:pt idx="5">
                  <c:v>Hidraulico</c:v>
                </c:pt>
                <c:pt idx="6">
                  <c:v>Lubrificacao</c:v>
                </c:pt>
                <c:pt idx="7">
                  <c:v>Revestimentos</c:v>
                </c:pt>
                <c:pt idx="8">
                  <c:v>Molas e Amortecedores</c:v>
                </c:pt>
                <c:pt idx="9">
                  <c:v>Filtros</c:v>
                </c:pt>
              </c:strCache>
            </c:strRef>
          </c:cat>
          <c:val>
            <c:numRef>
              <c:f>Indicadores!$B$3:$B$12</c:f>
              <c:numCache>
                <c:formatCode>"R$ "#,##0</c:formatCode>
                <c:ptCount val="10"/>
                <c:pt idx="0">
                  <c:v>152164</c:v>
                </c:pt>
                <c:pt idx="1">
                  <c:v>11180450</c:v>
                </c:pt>
                <c:pt idx="2">
                  <c:v>4076148</c:v>
                </c:pt>
                <c:pt idx="3">
                  <c:v>640230</c:v>
                </c:pt>
                <c:pt idx="4">
                  <c:v>4367.8999999999996</c:v>
                </c:pt>
                <c:pt idx="5">
                  <c:v>1367600</c:v>
                </c:pt>
                <c:pt idx="6">
                  <c:v>2372</c:v>
                </c:pt>
                <c:pt idx="7">
                  <c:v>2387240</c:v>
                </c:pt>
                <c:pt idx="8">
                  <c:v>411300</c:v>
                </c:pt>
                <c:pt idx="9">
                  <c:v>32545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9-43EB-92DD-C804850201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3257764"/>
        <c:axId val="18816419"/>
      </c:barChart>
      <c:catAx>
        <c:axId val="132577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8816419"/>
        <c:crosses val="autoZero"/>
        <c:auto val="1"/>
        <c:lblAlgn val="ctr"/>
        <c:lblOffset val="100"/>
        <c:noMultiLvlLbl val="0"/>
      </c:catAx>
      <c:valAx>
        <c:axId val="18816419"/>
        <c:scaling>
          <c:orientation val="minMax"/>
        </c:scaling>
        <c:delete val="1"/>
        <c:axPos val="l"/>
        <c:numFmt formatCode="&quot;R$ &quot;#,##0" sourceLinked="0"/>
        <c:majorTickMark val="none"/>
        <c:minorTickMark val="none"/>
        <c:tickLblPos val="nextTo"/>
        <c:crossAx val="13257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Status das Requisicoes (RC)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499718739459844"/>
          <c:y val="0.10540185327995628"/>
          <c:w val="0.49887126078473493"/>
          <c:h val="0.87351777606405245"/>
        </c:manualLayout>
      </c:layout>
      <c:pieChart>
        <c:varyColors val="1"/>
        <c:ser>
          <c:idx val="0"/>
          <c:order val="0"/>
          <c:tx>
            <c:strRef>
              <c:f>Indicadores!$B$16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41E-4EF0-A7F2-7464B3F6969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41E-4EF0-A7F2-7464B3F6969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41E-4EF0-A7F2-7464B3F6969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41E-4EF0-A7F2-7464B3F6969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1E-4EF0-A7F2-7464B3F69694}"/>
                </c:ext>
              </c:extLst>
            </c:dLbl>
            <c:dLbl>
              <c:idx val="1"/>
              <c:layout>
                <c:manualLayout>
                  <c:x val="-0.11710354160769548"/>
                  <c:y val="-3.2736321744219747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1E-4EF0-A7F2-7464B3F6969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1E-4EF0-A7F2-7464B3F6969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1E-4EF0-A7F2-7464B3F69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Indicadores!$A$17:$A$20</c:f>
              <c:strCache>
                <c:ptCount val="4"/>
                <c:pt idx="0">
                  <c:v>Pendente</c:v>
                </c:pt>
                <c:pt idx="1">
                  <c:v>Aguardando Aprovacao</c:v>
                </c:pt>
                <c:pt idx="2">
                  <c:v>Em Cotacao</c:v>
                </c:pt>
                <c:pt idx="3">
                  <c:v>Convertida</c:v>
                </c:pt>
              </c:strCache>
            </c:strRef>
          </c:cat>
          <c:val>
            <c:numRef>
              <c:f>Indicadores!$B$17:$B$20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1E-4EF0-A7F2-7464B3F69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"/>
          <c:y val="0.44654731746473852"/>
          <c:w val="0.21849371849258351"/>
          <c:h val="0.553452682535261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Status dos Pedidos (OC)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Indicadores!$B$24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A0A-4A9E-BAD8-646A498E9ADB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4A0A-4A9E-BAD8-646A498E9AD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A0A-4A9E-BAD8-646A498E9ADB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Indicadores!$A$25:$A$27</c:f>
              <c:strCache>
                <c:ptCount val="3"/>
                <c:pt idx="0">
                  <c:v>Em Transito</c:v>
                </c:pt>
                <c:pt idx="1">
                  <c:v>Atrasado</c:v>
                </c:pt>
                <c:pt idx="2">
                  <c:v>Recebido</c:v>
                </c:pt>
              </c:strCache>
            </c:strRef>
          </c:cat>
          <c:val>
            <c:numRef>
              <c:f>Indicadores!$B$25:$B$27</c:f>
              <c:numCache>
                <c:formatCode>General</c:formatCode>
                <c:ptCount val="3"/>
                <c:pt idx="0">
                  <c:v>10</c:v>
                </c:pt>
                <c:pt idx="1">
                  <c:v>36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A-4A9E-BAD8-646A498E9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1948078"/>
        <c:axId val="78994152"/>
      </c:barChart>
      <c:catAx>
        <c:axId val="9194807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8994152"/>
        <c:crosses val="autoZero"/>
        <c:auto val="1"/>
        <c:lblAlgn val="ctr"/>
        <c:lblOffset val="100"/>
        <c:noMultiLvlLbl val="0"/>
      </c:catAx>
      <c:valAx>
        <c:axId val="78994152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1948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Cobertura de Estoque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Indicadores!$B$31</c:f>
              <c:strCache>
                <c:ptCount val="1"/>
                <c:pt idx="0">
                  <c:v>Qtde Materiais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EA1-47E2-99F0-58FB82C2FC8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AEA1-47E2-99F0-58FB82C2FC82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EA1-47E2-99F0-58FB82C2FC82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AEA1-47E2-99F0-58FB82C2FC82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Indicadores!$A$32:$A$35</c:f>
              <c:strCache>
                <c:ptCount val="4"/>
                <c:pt idx="0">
                  <c:v>Menos de 7 dias</c:v>
                </c:pt>
                <c:pt idx="1">
                  <c:v>De 7 a 30 dias</c:v>
                </c:pt>
                <c:pt idx="2">
                  <c:v>De 30 a 90 dias</c:v>
                </c:pt>
                <c:pt idx="3">
                  <c:v>Mais de 90 dias</c:v>
                </c:pt>
              </c:strCache>
            </c:strRef>
          </c:cat>
          <c:val>
            <c:numRef>
              <c:f>Indicadores!$B$32:$B$35</c:f>
              <c:numCache>
                <c:formatCode>General</c:formatCode>
                <c:ptCount val="4"/>
                <c:pt idx="0">
                  <c:v>7</c:v>
                </c:pt>
                <c:pt idx="1">
                  <c:v>13</c:v>
                </c:pt>
                <c:pt idx="2">
                  <c:v>17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1-47E2-99F0-58FB82C2F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3114807"/>
        <c:axId val="88557476"/>
      </c:barChart>
      <c:catAx>
        <c:axId val="231148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557476"/>
        <c:crosses val="autoZero"/>
        <c:auto val="1"/>
        <c:lblAlgn val="ctr"/>
        <c:lblOffset val="100"/>
        <c:noMultiLvlLbl val="0"/>
      </c:catAx>
      <c:valAx>
        <c:axId val="885574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114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Curva ABC — Quantidade de Materiais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Indicadores!$B$39</c:f>
              <c:strCache>
                <c:ptCount val="1"/>
                <c:pt idx="0">
                  <c:v>Qtde Materiais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A76-495D-BC18-55941A79689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A76-495D-BC18-55941A79689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A76-495D-BC18-55941A79689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76-495D-BC18-55941A79689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76-495D-BC18-55941A79689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76-495D-BC18-55941A79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Indicadores!$A$40:$A$42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Indicadores!$B$40:$B$42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76-495D-BC18-55941A79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Estoque Parado por Faixa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Indicadores!$B$46</c:f>
              <c:strCache>
                <c:ptCount val="1"/>
                <c:pt idx="0">
                  <c:v>Valor Parado (R$)</c:v>
                </c:pt>
              </c:strCache>
            </c:strRef>
          </c:tx>
          <c:spPr>
            <a:solidFill>
              <a:srgbClr val="9C0006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530-4F83-A528-3C556526138C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3530-4F83-A528-3C556526138C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530-4F83-A528-3C556526138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3530-4F83-A528-3C556526138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Indicadores!$A$47:$A$50</c:f>
              <c:strCache>
                <c:ptCount val="4"/>
                <c:pt idx="0">
                  <c:v>Entre 1 e 89 dias</c:v>
                </c:pt>
                <c:pt idx="1">
                  <c:v>90 a 180 dias</c:v>
                </c:pt>
                <c:pt idx="2">
                  <c:v>180 a 365 dias</c:v>
                </c:pt>
                <c:pt idx="3">
                  <c:v>Mais de 365 dias</c:v>
                </c:pt>
              </c:strCache>
            </c:strRef>
          </c:cat>
          <c:val>
            <c:numRef>
              <c:f>Indicadores!$B$47:$B$50</c:f>
              <c:numCache>
                <c:formatCode>"R$ "#,##0</c:formatCode>
                <c:ptCount val="4"/>
                <c:pt idx="0">
                  <c:v>8300816.9000000004</c:v>
                </c:pt>
                <c:pt idx="1">
                  <c:v>1711200</c:v>
                </c:pt>
                <c:pt idx="2">
                  <c:v>6098400</c:v>
                </c:pt>
                <c:pt idx="3">
                  <c:v>4144000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0-4F83-A528-3C556526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7233849"/>
        <c:axId val="9499988"/>
      </c:barChart>
      <c:catAx>
        <c:axId val="2723384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499988"/>
        <c:crosses val="autoZero"/>
        <c:auto val="1"/>
        <c:lblAlgn val="ctr"/>
        <c:lblOffset val="100"/>
        <c:noMultiLvlLbl val="0"/>
      </c:catAx>
      <c:valAx>
        <c:axId val="9499988"/>
        <c:scaling>
          <c:orientation val="minMax"/>
        </c:scaling>
        <c:delete val="1"/>
        <c:axPos val="b"/>
        <c:numFmt formatCode="&quot;R$ &quot;#,##0" sourceLinked="0"/>
        <c:majorTickMark val="none"/>
        <c:minorTickMark val="none"/>
        <c:tickLblPos val="nextTo"/>
        <c:crossAx val="27233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95249</xdr:rowOff>
    </xdr:from>
    <xdr:to>
      <xdr:col>4</xdr:col>
      <xdr:colOff>2809874</xdr:colOff>
      <xdr:row>24</xdr:row>
      <xdr:rowOff>154780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9</xdr:row>
      <xdr:rowOff>-1</xdr:rowOff>
    </xdr:from>
    <xdr:to>
      <xdr:col>10</xdr:col>
      <xdr:colOff>5102</xdr:colOff>
      <xdr:row>24</xdr:row>
      <xdr:rowOff>154780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13607</xdr:colOff>
      <xdr:row>9</xdr:row>
      <xdr:rowOff>0</xdr:rowOff>
    </xdr:from>
    <xdr:to>
      <xdr:col>15</xdr:col>
      <xdr:colOff>736839</xdr:colOff>
      <xdr:row>25</xdr:row>
      <xdr:rowOff>1796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4</xdr:col>
      <xdr:colOff>2266617</xdr:colOff>
      <xdr:row>43</xdr:row>
      <xdr:rowOff>11160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</xdr:colOff>
      <xdr:row>27</xdr:row>
      <xdr:rowOff>0</xdr:rowOff>
    </xdr:from>
    <xdr:to>
      <xdr:col>10</xdr:col>
      <xdr:colOff>23813</xdr:colOff>
      <xdr:row>43</xdr:row>
      <xdr:rowOff>11160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23812</xdr:colOff>
      <xdr:row>27</xdr:row>
      <xdr:rowOff>0</xdr:rowOff>
    </xdr:from>
    <xdr:to>
      <xdr:col>16</xdr:col>
      <xdr:colOff>0</xdr:colOff>
      <xdr:row>43</xdr:row>
      <xdr:rowOff>11160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" refreshedDate="46258.822911574076" createdVersion="8" refreshedVersion="8" minRefreshableVersion="3" recordCount="136" xr:uid="{9EF42F5C-301E-4FDB-8CA8-F532724818B4}">
  <cacheSource type="worksheet">
    <worksheetSource name="Tabela3"/>
  </cacheSource>
  <cacheFields count="15">
    <cacheField name="Cod Material" numFmtId="0">
      <sharedItems containsSemiMixedTypes="0" containsString="0" containsNumber="1" containsInteger="1" minValue="2001" maxValue="9005"/>
    </cacheField>
    <cacheField name="Material" numFmtId="0">
      <sharedItems/>
    </cacheField>
    <cacheField name="Pedido" numFmtId="0">
      <sharedItems containsSemiMixedTypes="0" containsString="0" containsNumber="1" containsInteger="1" minValue="45000100" maxValue="45000234"/>
    </cacheField>
    <cacheField name="Data Emissao" numFmtId="14">
      <sharedItems containsSemiMixedTypes="0" containsNonDate="0" containsDate="1" containsString="0" minDate="2025-01-08T00:00:00" maxDate="2026-08-14T00:00:00"/>
    </cacheField>
    <cacheField name="Cod Fornecedor" numFmtId="0">
      <sharedItems/>
    </cacheField>
    <cacheField name="Fornecedor" numFmtId="0">
      <sharedItems/>
    </cacheField>
    <cacheField name="Quantidade" numFmtId="3">
      <sharedItems containsSemiMixedTypes="0" containsString="0" containsNumber="1" containsInteger="1" minValue="10" maxValue="98"/>
    </cacheField>
    <cacheField name="Valor Unitario" numFmtId="168">
      <sharedItems containsSemiMixedTypes="0" containsString="0" containsNumber="1" minValue="2.2000000000000002" maxValue="32500"/>
    </cacheField>
    <cacheField name="Valor Total" numFmtId="168">
      <sharedItems containsSemiMixedTypes="0" containsString="0" containsNumber="1" minValue="65" maxValue="2177500"/>
    </cacheField>
    <cacheField name="Data Prevista" numFmtId="14">
      <sharedItems containsSemiMixedTypes="0" containsNonDate="0" containsDate="1" containsString="0" minDate="2025-01-13T00:00:00" maxDate="2026-09-19T00:00:00"/>
    </cacheField>
    <cacheField name="Data Recebimento" numFmtId="14">
      <sharedItems containsNonDate="0" containsDate="1" containsString="0" containsBlank="1" minDate="2025-01-13T00:00:00" maxDate="2026-08-23T00:00:00"/>
    </cacheField>
    <cacheField name="Status" numFmtId="0">
      <sharedItems containsBlank="1" count="4">
        <s v="Atrasado"/>
        <s v="Recebido"/>
        <s v="Em Transito"/>
        <m u="1"/>
      </sharedItems>
    </cacheField>
    <cacheField name="Situacao Entrega" numFmtId="0">
      <sharedItems/>
    </cacheField>
    <cacheField name="Dias de Atraso" numFmtId="0">
      <sharedItems containsMixedTypes="1" containsNumber="1" containsInteger="1" minValue="0" maxValue="7"/>
    </cacheField>
    <cacheField name="Lead Time" numFmtId="0">
      <sharedItems containsMixedTypes="1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" refreshedDate="46258.8229125" createdVersion="8" refreshedVersion="8" minRefreshableVersion="3" recordCount="30" xr:uid="{6086F6C7-CF0C-40E2-9CEF-CDBF21A26FB5}">
  <cacheSource type="worksheet">
    <worksheetSource name="Tabela1"/>
  </cacheSource>
  <cacheFields count="9">
    <cacheField name="Cod Material" numFmtId="0">
      <sharedItems containsSemiMixedTypes="0" containsString="0" containsNumber="1" containsInteger="1" minValue="2001" maxValue="5006"/>
    </cacheField>
    <cacheField name="Material" numFmtId="0">
      <sharedItems/>
    </cacheField>
    <cacheField name="Requisição" numFmtId="0">
      <sharedItems containsSemiMixedTypes="0" containsString="0" containsNumber="1" containsInteger="1" minValue="450002300" maxValue="450002329"/>
    </cacheField>
    <cacheField name="Cod Fornecedor" numFmtId="0">
      <sharedItems/>
    </cacheField>
    <cacheField name="Fornecedor" numFmtId="0">
      <sharedItems/>
    </cacheField>
    <cacheField name="Data" numFmtId="14">
      <sharedItems containsSemiMixedTypes="0" containsNonDate="0" containsDate="1" containsString="0" minDate="2025-06-26T00:00:00" maxDate="2026-08-08T00:00:00"/>
    </cacheField>
    <cacheField name="Quantidade" numFmtId="0">
      <sharedItems containsSemiMixedTypes="0" containsString="0" containsNumber="1" containsInteger="1" minValue="1" maxValue="8"/>
    </cacheField>
    <cacheField name="Status" numFmtId="0">
      <sharedItems count="4">
        <s v="Convertida"/>
        <s v="Em Cotacao"/>
        <s v="Pendente"/>
        <s v="Aguardando Aprovacao"/>
      </sharedItems>
    </cacheField>
    <cacheField name="Dias em Aberto" numFmtId="0">
      <sharedItems containsMixedTypes="1" containsNumber="1" containsInteger="1" minValue="17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09"/>
    <s v="Bucha de Bronze"/>
    <n v="45000126"/>
    <d v="2026-08-05T00:00:00"/>
    <s v="FORN-001"/>
    <s v="Metso Outotec Brasil"/>
    <n v="79"/>
    <n v="1650"/>
    <n v="130350"/>
    <d v="2026-08-12T00:00:00"/>
    <m/>
    <x v="0"/>
    <s v=""/>
    <s v=""/>
    <s v=""/>
  </r>
  <r>
    <n v="2002"/>
    <s v="Mandibula Movel do Britador"/>
    <n v="45000103"/>
    <d v="2025-01-08T00:00:00"/>
    <s v="FORN-002"/>
    <s v="SKF do Brasil Ltda"/>
    <n v="63"/>
    <n v="19800"/>
    <n v="1247400"/>
    <d v="2025-01-15T00:00:00"/>
    <d v="2025-01-18T00:00:00"/>
    <x v="1"/>
    <s v="Atrasado"/>
    <n v="3"/>
    <n v="10"/>
  </r>
  <r>
    <n v="2001"/>
    <s v="Mandibula Fixa do Britador"/>
    <n v="45000102"/>
    <d v="2025-08-05T00:00:00"/>
    <s v="FORN-003"/>
    <s v="WEG Equipamentos Eletricos"/>
    <n v="87"/>
    <n v="18500"/>
    <n v="1609500"/>
    <d v="2025-08-12T00:00:00"/>
    <m/>
    <x v="0"/>
    <s v=""/>
    <s v=""/>
    <s v=""/>
  </r>
  <r>
    <n v="2003"/>
    <s v="Revestimento Concavo"/>
    <n v="45000106"/>
    <d v="2025-01-10T00:00:00"/>
    <s v="FORN-003"/>
    <s v="WEG Equipamentos Eletricos"/>
    <n v="68"/>
    <n v="12400"/>
    <n v="843200"/>
    <d v="2025-01-17T00:00:00"/>
    <d v="2025-01-17T00:00:00"/>
    <x v="1"/>
    <s v="No Prazo"/>
    <n v="0"/>
    <n v="7"/>
  </r>
  <r>
    <n v="2004"/>
    <s v="Revestimento Manto"/>
    <n v="45000109"/>
    <d v="2026-02-12T00:00:00"/>
    <s v="FORN-004"/>
    <s v="Parker Hannifin Ind. e Com."/>
    <n v="49"/>
    <n v="11800"/>
    <n v="578200"/>
    <d v="2026-02-19T00:00:00"/>
    <d v="2026-02-21T00:00:00"/>
    <x v="1"/>
    <s v="Atrasado"/>
    <n v="2"/>
    <n v="9"/>
  </r>
  <r>
    <n v="2002"/>
    <s v="Mandibula Movel do Britador"/>
    <n v="45000105"/>
    <d v="2025-07-01T00:00:00"/>
    <s v="FORN-004"/>
    <s v="Parker Hannifin Ind. e Com."/>
    <n v="72"/>
    <n v="19800"/>
    <n v="1425600"/>
    <d v="2025-07-08T00:00:00"/>
    <m/>
    <x v="0"/>
    <s v=""/>
    <s v=""/>
    <s v=""/>
  </r>
  <r>
    <n v="2005"/>
    <s v="Chapa Blindada Lateral"/>
    <n v="45000112"/>
    <d v="2026-02-14T00:00:00"/>
    <s v="FORN-005"/>
    <s v="Continental Correias Ind."/>
    <n v="30"/>
    <n v="3450"/>
    <n v="103500"/>
    <d v="2026-02-21T00:00:00"/>
    <d v="2026-02-21T00:00:00"/>
    <x v="1"/>
    <s v="No Prazo"/>
    <n v="0"/>
    <n v="7"/>
  </r>
  <r>
    <n v="2357"/>
    <s v="Rolamento 6308"/>
    <n v="45000141"/>
    <d v="2026-02-16T00:00:00"/>
    <s v="FORN-001"/>
    <s v="Metso Outotec Brasil"/>
    <n v="67"/>
    <n v="210"/>
    <n v="14070"/>
    <d v="2026-02-23T00:00:00"/>
    <m/>
    <x v="0"/>
    <s v=""/>
    <s v=""/>
    <s v=""/>
  </r>
  <r>
    <n v="2003"/>
    <s v="Revestimento Concavo"/>
    <n v="45000108"/>
    <d v="2025-08-05T00:00:00"/>
    <s v="FORN-005"/>
    <s v="Continental Correias Ind."/>
    <n v="34"/>
    <n v="12400"/>
    <n v="421600"/>
    <d v="2025-08-12T00:00:00"/>
    <m/>
    <x v="0"/>
    <s v=""/>
    <s v=""/>
    <s v=""/>
  </r>
  <r>
    <n v="2007"/>
    <s v="Placa de Impacto"/>
    <n v="45000118"/>
    <d v="2026-03-18T00:00:00"/>
    <s v="FORN-002"/>
    <s v="SKF do Brasil Ltda"/>
    <n v="17"/>
    <n v="1980"/>
    <n v="33660"/>
    <d v="2026-03-25T00:00:00"/>
    <d v="2026-03-25T00:00:00"/>
    <x v="1"/>
    <s v="No Prazo"/>
    <n v="0"/>
    <n v="7"/>
  </r>
  <r>
    <n v="2008"/>
    <s v="Eixo Excentrico"/>
    <n v="45000121"/>
    <d v="2026-03-19T00:00:00"/>
    <s v="FORN-003"/>
    <s v="WEG Equipamentos Eletricos"/>
    <n v="46"/>
    <n v="24500"/>
    <n v="1127000"/>
    <d v="2026-03-26T00:00:00"/>
    <d v="2026-03-28T00:00:00"/>
    <x v="1"/>
    <s v="Atrasado"/>
    <n v="2"/>
    <n v="9"/>
  </r>
  <r>
    <n v="3001"/>
    <s v="Correia Transportadora B-1200"/>
    <n v="45000156"/>
    <d v="2026-07-15T00:00:00"/>
    <s v="FORN-001"/>
    <s v="Metso Outotec Brasil"/>
    <n v="73"/>
    <n v="320"/>
    <n v="23360"/>
    <d v="2026-07-22T00:00:00"/>
    <m/>
    <x v="0"/>
    <s v=""/>
    <s v=""/>
    <s v=""/>
  </r>
  <r>
    <n v="2009"/>
    <s v="Bucha de Bronze"/>
    <n v="45000124"/>
    <d v="2026-03-17T00:00:00"/>
    <s v="FORN-004"/>
    <s v="Parker Hannifin Ind. e Com."/>
    <n v="19"/>
    <n v="1650"/>
    <n v="31350"/>
    <d v="2026-03-24T00:00:00"/>
    <d v="2026-03-24T00:00:00"/>
    <x v="1"/>
    <s v="No Prazo"/>
    <n v="0"/>
    <n v="7"/>
  </r>
  <r>
    <n v="2010"/>
    <s v="Bucha Excentrica"/>
    <n v="45000127"/>
    <d v="2026-04-15T00:00:00"/>
    <s v="FORN-005"/>
    <s v="Continental Correias Ind."/>
    <n v="22"/>
    <n v="2150"/>
    <n v="47300"/>
    <d v="2026-04-22T00:00:00"/>
    <d v="2026-04-22T00:00:00"/>
    <x v="1"/>
    <s v="No Prazo"/>
    <n v="0"/>
    <n v="7"/>
  </r>
  <r>
    <n v="2005"/>
    <s v="Chapa Blindada Lateral"/>
    <n v="45000114"/>
    <d v="2026-08-05T00:00:00"/>
    <s v="FORN-002"/>
    <s v="SKF do Brasil Ltda"/>
    <n v="80"/>
    <n v="3450"/>
    <n v="276000"/>
    <d v="2026-08-12T00:00:00"/>
    <m/>
    <x v="0"/>
    <s v=""/>
    <s v=""/>
    <s v=""/>
  </r>
  <r>
    <n v="5005"/>
    <s v="Sensor de Temperatura"/>
    <n v="45000186"/>
    <d v="2026-01-10T00:00:00"/>
    <s v="FORN-001"/>
    <s v="Metso Outotec Brasil"/>
    <n v="75"/>
    <n v="780"/>
    <n v="58500"/>
    <d v="2026-01-17T00:00:00"/>
    <m/>
    <x v="0"/>
    <s v=""/>
    <s v=""/>
    <s v=""/>
  </r>
  <r>
    <n v="2012"/>
    <s v="Grelha Vibratoria"/>
    <n v="45000133"/>
    <d v="2026-04-11T00:00:00"/>
    <s v="FORN-002"/>
    <s v="SKF do Brasil Ltda"/>
    <n v="17"/>
    <n v="5400"/>
    <n v="91800"/>
    <d v="2026-04-18T00:00:00"/>
    <d v="2026-04-22T00:00:00"/>
    <x v="1"/>
    <s v="Atrasado"/>
    <n v="4"/>
    <n v="11"/>
  </r>
  <r>
    <n v="2006"/>
    <s v="Chapa de Desgaste"/>
    <n v="45000117"/>
    <d v="2026-07-01T00:00:00"/>
    <s v="FORN-003"/>
    <s v="WEG Equipamentos Eletricos"/>
    <n v="29"/>
    <n v="2870"/>
    <n v="83230"/>
    <d v="2026-09-08T00:00:00"/>
    <m/>
    <x v="2"/>
    <s v=""/>
    <s v=""/>
    <s v=""/>
  </r>
  <r>
    <n v="2356"/>
    <s v="Rolamento 6205"/>
    <n v="45000136"/>
    <d v="2026-05-09T00:00:00"/>
    <s v="FORN-003"/>
    <s v="WEG Equipamentos Eletricos"/>
    <n v="78"/>
    <n v="145"/>
    <n v="11310"/>
    <d v="2026-05-16T00:00:00"/>
    <d v="2026-05-16T00:00:00"/>
    <x v="1"/>
    <s v="No Prazo"/>
    <n v="0"/>
    <n v="7"/>
  </r>
  <r>
    <n v="2357"/>
    <s v="Rolamento 6308"/>
    <n v="45000139"/>
    <d v="2026-05-07T00:00:00"/>
    <s v="FORN-004"/>
    <s v="Parker Hannifin Ind. e Com."/>
    <n v="45"/>
    <n v="210"/>
    <n v="9450"/>
    <d v="2026-05-14T00:00:00"/>
    <d v="2026-05-14T00:00:00"/>
    <x v="1"/>
    <s v="No Prazo"/>
    <n v="0"/>
    <n v="7"/>
  </r>
  <r>
    <n v="2007"/>
    <s v="Placa de Impacto"/>
    <n v="45000120"/>
    <d v="2026-08-05T00:00:00"/>
    <s v="FORN-004"/>
    <s v="Parker Hannifin Ind. e Com."/>
    <n v="24"/>
    <n v="1980"/>
    <n v="47520"/>
    <d v="2026-08-12T00:00:00"/>
    <m/>
    <x v="0"/>
    <s v=""/>
    <s v=""/>
    <s v=""/>
  </r>
  <r>
    <n v="2358"/>
    <s v="Rolamento de Rolos Conicos 32218"/>
    <n v="45000142"/>
    <d v="2026-05-05T00:00:00"/>
    <s v="FORN-005"/>
    <s v="Continental Correias Ind."/>
    <n v="54"/>
    <n v="890"/>
    <n v="48060"/>
    <d v="2026-05-12T00:00:00"/>
    <d v="2026-05-12T00:00:00"/>
    <x v="1"/>
    <s v="No Prazo"/>
    <n v="0"/>
    <n v="7"/>
  </r>
  <r>
    <n v="8001"/>
    <s v="Oleo Lubrificante ISO 220"/>
    <n v="45000216"/>
    <d v="2026-03-17T00:00:00"/>
    <s v="FORN-001"/>
    <s v="Metso Outotec Brasil"/>
    <n v="87"/>
    <n v="28"/>
    <n v="2436"/>
    <d v="2026-03-24T00:00:00"/>
    <m/>
    <x v="0"/>
    <s v=""/>
    <s v=""/>
    <s v=""/>
  </r>
  <r>
    <n v="2008"/>
    <s v="Eixo Excentrico"/>
    <n v="45000123"/>
    <d v="2026-07-01T00:00:00"/>
    <s v="FORN-005"/>
    <s v="Continental Correias Ind."/>
    <n v="33"/>
    <n v="24500"/>
    <n v="808500"/>
    <d v="2026-09-08T00:00:00"/>
    <m/>
    <x v="2"/>
    <s v=""/>
    <s v=""/>
    <s v=""/>
  </r>
  <r>
    <n v="2360"/>
    <s v="Rolamento Autocompensador 22222"/>
    <n v="45000148"/>
    <d v="2026-06-01T00:00:00"/>
    <s v="FORN-002"/>
    <s v="SKF do Brasil Ltda"/>
    <n v="71"/>
    <n v="2380"/>
    <n v="168980"/>
    <d v="2026-06-08T00:00:00"/>
    <d v="2026-06-08T00:00:00"/>
    <x v="1"/>
    <s v="No Prazo"/>
    <n v="0"/>
    <n v="7"/>
  </r>
  <r>
    <n v="2361"/>
    <s v="Retentor de Vedacao"/>
    <n v="45000151"/>
    <d v="2026-06-10T00:00:00"/>
    <s v="FORN-003"/>
    <s v="WEG Equipamentos Eletricos"/>
    <n v="32"/>
    <n v="68"/>
    <n v="2176"/>
    <d v="2026-06-17T00:00:00"/>
    <d v="2026-06-19T00:00:00"/>
    <x v="1"/>
    <s v="Atrasado"/>
    <n v="2"/>
    <n v="9"/>
  </r>
  <r>
    <n v="2004"/>
    <s v="Revestimento Manto"/>
    <n v="45000111"/>
    <d v="2026-07-01T00:00:00"/>
    <s v="FORN-001"/>
    <s v="Metso Outotec Brasil"/>
    <n v="44"/>
    <n v="11800"/>
    <n v="519200"/>
    <d v="2026-09-08T00:00:00"/>
    <m/>
    <x v="2"/>
    <s v=""/>
    <s v=""/>
    <s v=""/>
  </r>
  <r>
    <n v="3001"/>
    <s v="Correia Transportadora B-1200"/>
    <n v="45000154"/>
    <d v="2026-07-18T00:00:00"/>
    <s v="FORN-004"/>
    <s v="Parker Hannifin Ind. e Com."/>
    <n v="45"/>
    <n v="320"/>
    <n v="14400"/>
    <d v="2026-07-25T00:00:00"/>
    <d v="2026-07-25T00:00:00"/>
    <x v="1"/>
    <s v="No Prazo"/>
    <n v="0"/>
    <n v="7"/>
  </r>
  <r>
    <n v="3002"/>
    <s v="Correia em V A-75"/>
    <n v="45000157"/>
    <d v="2026-07-19T00:00:00"/>
    <s v="FORN-005"/>
    <s v="Continental Correias Ind."/>
    <n v="65"/>
    <n v="95"/>
    <n v="6175"/>
    <d v="2026-07-26T00:00:00"/>
    <d v="2026-07-26T00:00:00"/>
    <x v="1"/>
    <s v="No Prazo"/>
    <n v="0"/>
    <n v="7"/>
  </r>
  <r>
    <n v="2010"/>
    <s v="Bucha Excentrica"/>
    <n v="45000129"/>
    <d v="2026-02-17T00:00:00"/>
    <s v="FORN-002"/>
    <s v="SKF do Brasil Ltda"/>
    <n v="67"/>
    <n v="2150"/>
    <n v="144050"/>
    <d v="2026-02-24T00:00:00"/>
    <m/>
    <x v="0"/>
    <s v=""/>
    <s v=""/>
    <s v=""/>
  </r>
  <r>
    <n v="4002"/>
    <s v="Amortecedor de Impacto"/>
    <n v="45000171"/>
    <d v="2026-04-11T00:00:00"/>
    <s v="FORN-001"/>
    <s v="Metso Outotec Brasil"/>
    <n v="68"/>
    <n v="4100"/>
    <n v="278800"/>
    <d v="2026-09-18T00:00:00"/>
    <m/>
    <x v="2"/>
    <s v=""/>
    <s v=""/>
    <s v=""/>
  </r>
  <r>
    <n v="3004"/>
    <s v="Polia Movida"/>
    <n v="45000163"/>
    <d v="2026-08-13T00:00:00"/>
    <s v="FORN-002"/>
    <s v="SKF do Brasil Ltda"/>
    <n v="18"/>
    <n v="2180"/>
    <n v="39240"/>
    <d v="2026-08-20T00:00:00"/>
    <d v="2026-08-22T00:00:00"/>
    <x v="1"/>
    <s v="Atrasado"/>
    <n v="2"/>
    <n v="9"/>
  </r>
  <r>
    <n v="2011"/>
    <s v="Volante de Inercia"/>
    <n v="45000132"/>
    <d v="2026-02-11T00:00:00"/>
    <s v="FORN-003"/>
    <s v="WEG Equipamentos Eletricos"/>
    <n v="75"/>
    <n v="9800"/>
    <n v="735000"/>
    <d v="2026-02-18T00:00:00"/>
    <m/>
    <x v="0"/>
    <s v=""/>
    <s v=""/>
    <s v=""/>
  </r>
  <r>
    <n v="4001"/>
    <s v="Mola de Compressao"/>
    <n v="45000166"/>
    <d v="2026-08-09T00:00:00"/>
    <s v="FORN-003"/>
    <s v="WEG Equipamentos Eletricos"/>
    <n v="25"/>
    <n v="3200"/>
    <n v="80000"/>
    <d v="2026-08-16T00:00:00"/>
    <d v="2026-08-16T00:00:00"/>
    <x v="1"/>
    <s v="No Prazo"/>
    <n v="0"/>
    <n v="7"/>
  </r>
  <r>
    <n v="4002"/>
    <s v="Amortecedor de Impacto"/>
    <n v="45000169"/>
    <d v="2026-08-07T00:00:00"/>
    <s v="FORN-004"/>
    <s v="Parker Hannifin Ind. e Com."/>
    <n v="18"/>
    <n v="4100"/>
    <n v="73800"/>
    <d v="2026-08-14T00:00:00"/>
    <d v="2026-08-14T00:00:00"/>
    <x v="1"/>
    <s v="No Prazo"/>
    <n v="0"/>
    <n v="7"/>
  </r>
  <r>
    <n v="2012"/>
    <s v="Grelha Vibratoria"/>
    <n v="45000135"/>
    <d v="2026-02-05T00:00:00"/>
    <s v="FORN-004"/>
    <s v="Parker Hannifin Ind. e Com."/>
    <n v="39"/>
    <n v="5400"/>
    <n v="210600"/>
    <d v="2026-02-12T00:00:00"/>
    <m/>
    <x v="0"/>
    <s v=""/>
    <s v=""/>
    <s v=""/>
  </r>
  <r>
    <n v="5001"/>
    <s v="Motor Eletrico 150cv"/>
    <n v="45000172"/>
    <d v="2026-01-06T00:00:00"/>
    <s v="FORN-005"/>
    <s v="Continental Correias Ind."/>
    <n v="67"/>
    <n v="32500"/>
    <n v="2177500"/>
    <d v="2026-01-13T00:00:00"/>
    <d v="2026-01-13T00:00:00"/>
    <x v="1"/>
    <s v="No Prazo"/>
    <n v="0"/>
    <n v="7"/>
  </r>
  <r>
    <n v="6003"/>
    <s v="Mangueira Hidraulica 1 polegada"/>
    <n v="45000201"/>
    <d v="2026-06-10T00:00:00"/>
    <s v="FORN-001"/>
    <s v="Metso Outotec Brasil"/>
    <n v="78"/>
    <n v="85"/>
    <n v="6630"/>
    <d v="2026-09-17T00:00:00"/>
    <m/>
    <x v="2"/>
    <s v=""/>
    <s v=""/>
    <s v=""/>
  </r>
  <r>
    <n v="2356"/>
    <s v="Rolamento 6205"/>
    <n v="45000138"/>
    <d v="2026-01-10T00:00:00"/>
    <s v="FORN-005"/>
    <s v="Continental Correias Ind."/>
    <n v="76"/>
    <n v="145"/>
    <n v="11020"/>
    <d v="2026-01-17T00:00:00"/>
    <m/>
    <x v="0"/>
    <s v=""/>
    <s v=""/>
    <s v=""/>
  </r>
  <r>
    <n v="5003"/>
    <s v="Painel de Comando"/>
    <n v="45000178"/>
    <d v="2026-02-12T00:00:00"/>
    <s v="FORN-002"/>
    <s v="SKF do Brasil Ltda"/>
    <n v="57"/>
    <n v="8900"/>
    <n v="507300"/>
    <d v="2026-02-19T00:00:00"/>
    <d v="2026-02-19T00:00:00"/>
    <x v="1"/>
    <s v="No Prazo"/>
    <n v="0"/>
    <n v="7"/>
  </r>
  <r>
    <n v="5004"/>
    <s v="Sensor de Vibracao"/>
    <n v="45000181"/>
    <d v="2026-02-14T00:00:00"/>
    <s v="FORN-003"/>
    <s v="WEG Equipamentos Eletricos"/>
    <n v="48"/>
    <n v="1350"/>
    <n v="64800"/>
    <d v="2026-02-21T00:00:00"/>
    <d v="2026-02-23T00:00:00"/>
    <x v="1"/>
    <s v="Atrasado"/>
    <n v="2"/>
    <n v="9"/>
  </r>
  <r>
    <n v="9004"/>
    <s v="Chaveta de Fixacao"/>
    <n v="45000231"/>
    <d v="2026-08-07T00:00:00"/>
    <s v="FORN-001"/>
    <s v="Metso Outotec Brasil"/>
    <n v="71"/>
    <n v="45"/>
    <n v="3195"/>
    <d v="2026-09-14T00:00:00"/>
    <m/>
    <x v="2"/>
    <s v=""/>
    <s v=""/>
    <s v=""/>
  </r>
  <r>
    <n v="5005"/>
    <s v="Sensor de Temperatura"/>
    <n v="45000184"/>
    <d v="2026-03-18T00:00:00"/>
    <s v="FORN-004"/>
    <s v="Parker Hannifin Ind. e Com."/>
    <n v="37"/>
    <n v="780"/>
    <n v="28860"/>
    <d v="2026-03-25T00:00:00"/>
    <d v="2026-03-25T00:00:00"/>
    <x v="1"/>
    <s v="No Prazo"/>
    <n v="0"/>
    <n v="7"/>
  </r>
  <r>
    <n v="5006"/>
    <s v="Cabo Eletrico 4x10mm"/>
    <n v="45000187"/>
    <d v="2026-03-19T00:00:00"/>
    <s v="FORN-005"/>
    <s v="Continental Correias Ind."/>
    <n v="34"/>
    <n v="22"/>
    <n v="748"/>
    <d v="2026-03-26T00:00:00"/>
    <d v="2026-03-26T00:00:00"/>
    <x v="1"/>
    <s v="No Prazo"/>
    <n v="0"/>
    <n v="7"/>
  </r>
  <r>
    <n v="2358"/>
    <s v="Rolamento de Rolos Conicos 32218"/>
    <n v="45000144"/>
    <d v="2026-03-17T00:00:00"/>
    <s v="FORN-002"/>
    <s v="SKF do Brasil Ltda"/>
    <n v="58"/>
    <n v="890"/>
    <n v="51620"/>
    <d v="2026-03-24T00:00:00"/>
    <m/>
    <x v="0"/>
    <s v=""/>
    <s v=""/>
    <s v=""/>
  </r>
  <r>
    <n v="2001"/>
    <s v="Mandibula Fixa do Britador"/>
    <n v="45000100"/>
    <d v="2025-01-09T00:00:00"/>
    <s v="FORN-001"/>
    <s v="Metso Outotec Brasil"/>
    <n v="23"/>
    <n v="18500"/>
    <n v="425500"/>
    <d v="2025-01-13T00:00:00"/>
    <d v="2025-01-13T00:00:00"/>
    <x v="1"/>
    <s v="No Prazo"/>
    <n v="0"/>
    <n v="4"/>
  </r>
  <r>
    <n v="6001"/>
    <s v="Cilindro Hidraulico de Ajuste"/>
    <n v="45000193"/>
    <d v="2026-04-13T00:00:00"/>
    <s v="FORN-002"/>
    <s v="SKF do Brasil Ltda"/>
    <n v="38"/>
    <n v="15800"/>
    <n v="600400"/>
    <d v="2026-04-20T00:00:00"/>
    <d v="2026-04-20T00:00:00"/>
    <x v="1"/>
    <s v="No Prazo"/>
    <n v="0"/>
    <n v="7"/>
  </r>
  <r>
    <n v="2359"/>
    <s v="Rolamento Esferico 22318"/>
    <n v="45000147"/>
    <d v="2026-04-11T00:00:00"/>
    <s v="FORN-003"/>
    <s v="WEG Equipamentos Eletricos"/>
    <n v="84"/>
    <n v="1240"/>
    <n v="104160"/>
    <d v="2026-04-18T00:00:00"/>
    <m/>
    <x v="0"/>
    <s v=""/>
    <s v=""/>
    <s v=""/>
  </r>
  <r>
    <n v="6002"/>
    <s v="Bomba Hidraulica"/>
    <n v="45000196"/>
    <d v="2026-05-09T00:00:00"/>
    <s v="FORN-003"/>
    <s v="WEG Equipamentos Eletricos"/>
    <n v="36"/>
    <n v="6900"/>
    <n v="248400"/>
    <d v="2026-05-16T00:00:00"/>
    <d v="2026-05-16T00:00:00"/>
    <x v="1"/>
    <s v="No Prazo"/>
    <n v="0"/>
    <n v="7"/>
  </r>
  <r>
    <n v="6003"/>
    <s v="Mangueira Hidraulica 1 polegada"/>
    <n v="45000199"/>
    <d v="2026-05-07T00:00:00"/>
    <s v="FORN-004"/>
    <s v="Parker Hannifin Ind. e Com."/>
    <n v="21"/>
    <n v="85"/>
    <n v="1785"/>
    <d v="2026-05-14T00:00:00"/>
    <d v="2026-05-17T00:00:00"/>
    <x v="1"/>
    <s v="Atrasado"/>
    <n v="3"/>
    <n v="10"/>
  </r>
  <r>
    <n v="2360"/>
    <s v="Rolamento Autocompensador 22222"/>
    <n v="45000150"/>
    <d v="2026-05-05T00:00:00"/>
    <s v="FORN-004"/>
    <s v="Parker Hannifin Ind. e Com."/>
    <n v="73"/>
    <n v="2380"/>
    <n v="173740"/>
    <d v="2026-05-12T00:00:00"/>
    <m/>
    <x v="0"/>
    <s v=""/>
    <s v=""/>
    <s v=""/>
  </r>
  <r>
    <n v="6004"/>
    <s v="Valvula Direcional"/>
    <n v="45000202"/>
    <d v="2026-06-03T00:00:00"/>
    <s v="FORN-005"/>
    <s v="Continental Correias Ind."/>
    <n v="54"/>
    <n v="2650"/>
    <n v="143100"/>
    <d v="2026-06-10T00:00:00"/>
    <d v="2026-06-10T00:00:00"/>
    <x v="1"/>
    <s v="No Prazo"/>
    <n v="0"/>
    <n v="7"/>
  </r>
  <r>
    <n v="2006"/>
    <s v="Chapa de Desgaste"/>
    <n v="45000115"/>
    <d v="2026-02-16T00:00:00"/>
    <s v="FORN-001"/>
    <s v="Metso Outotec Brasil"/>
    <n v="73"/>
    <n v="2870"/>
    <n v="209510"/>
    <d v="2026-02-23T00:00:00"/>
    <d v="2026-02-23T00:00:00"/>
    <x v="1"/>
    <s v="No Prazo"/>
    <n v="0"/>
    <n v="7"/>
  </r>
  <r>
    <n v="2361"/>
    <s v="Retentor de Vedacao"/>
    <n v="45000153"/>
    <d v="2026-06-10T00:00:00"/>
    <s v="FORN-005"/>
    <s v="Continental Correias Ind."/>
    <n v="33"/>
    <n v="68"/>
    <n v="2244"/>
    <d v="2026-06-17T00:00:00"/>
    <m/>
    <x v="0"/>
    <s v=""/>
    <s v=""/>
    <s v=""/>
  </r>
  <r>
    <n v="7002"/>
    <s v="Filtro de Oleo Lubrificante"/>
    <n v="45000208"/>
    <d v="2026-07-18T00:00:00"/>
    <s v="FORN-002"/>
    <s v="SKF do Brasil Ltda"/>
    <n v="70"/>
    <n v="95"/>
    <n v="6650"/>
    <d v="2026-07-25T00:00:00"/>
    <d v="2026-07-25T00:00:00"/>
    <x v="1"/>
    <s v="No Prazo"/>
    <n v="0"/>
    <n v="7"/>
  </r>
  <r>
    <n v="7003"/>
    <s v="Filtro de Ar"/>
    <n v="45000211"/>
    <d v="2026-07-19T00:00:00"/>
    <s v="FORN-003"/>
    <s v="WEG Equipamentos Eletricos"/>
    <n v="60"/>
    <n v="130"/>
    <n v="7800"/>
    <d v="2026-07-26T00:00:00"/>
    <d v="2026-07-26T00:00:00"/>
    <x v="1"/>
    <s v="No Prazo"/>
    <n v="0"/>
    <n v="7"/>
  </r>
  <r>
    <n v="2011"/>
    <s v="Volante de Inercia"/>
    <n v="45000130"/>
    <d v="2026-04-13T00:00:00"/>
    <s v="FORN-001"/>
    <s v="Metso Outotec Brasil"/>
    <n v="76"/>
    <n v="9800"/>
    <n v="744800"/>
    <d v="2026-04-20T00:00:00"/>
    <d v="2026-04-20T00:00:00"/>
    <x v="1"/>
    <s v="No Prazo"/>
    <n v="0"/>
    <n v="7"/>
  </r>
  <r>
    <n v="8001"/>
    <s v="Oleo Lubrificante ISO 220"/>
    <n v="45000214"/>
    <d v="2026-08-13T00:00:00"/>
    <s v="FORN-004"/>
    <s v="Parker Hannifin Ind. e Com."/>
    <n v="27"/>
    <n v="28"/>
    <n v="756"/>
    <d v="2026-08-20T00:00:00"/>
    <d v="2026-08-20T00:00:00"/>
    <x v="1"/>
    <s v="No Prazo"/>
    <n v="0"/>
    <n v="7"/>
  </r>
  <r>
    <n v="8002"/>
    <s v="Graxa Industrial EP2"/>
    <n v="45000217"/>
    <d v="2026-08-09T00:00:00"/>
    <s v="FORN-005"/>
    <s v="Continental Correias Ind."/>
    <n v="35"/>
    <n v="32"/>
    <n v="1120"/>
    <d v="2026-08-16T00:00:00"/>
    <d v="2026-08-16T00:00:00"/>
    <x v="1"/>
    <s v="No Prazo"/>
    <n v="0"/>
    <n v="7"/>
  </r>
  <r>
    <n v="3002"/>
    <s v="Correia em V A-75"/>
    <n v="45000159"/>
    <d v="2026-08-07T00:00:00"/>
    <s v="FORN-002"/>
    <s v="SKF do Brasil Ltda"/>
    <n v="73"/>
    <n v="95"/>
    <n v="6935"/>
    <d v="2026-09-14T00:00:00"/>
    <m/>
    <x v="2"/>
    <s v=""/>
    <s v=""/>
    <s v=""/>
  </r>
  <r>
    <n v="2359"/>
    <s v="Rolamento Esferico 22318"/>
    <n v="45000145"/>
    <d v="2026-06-03T00:00:00"/>
    <s v="FORN-001"/>
    <s v="Metso Outotec Brasil"/>
    <n v="59"/>
    <n v="1240"/>
    <n v="73160"/>
    <d v="2026-06-10T00:00:00"/>
    <d v="2026-06-10T00:00:00"/>
    <x v="1"/>
    <s v="No Prazo"/>
    <n v="0"/>
    <n v="7"/>
  </r>
  <r>
    <n v="9002"/>
    <s v="Porca Sextavada M24"/>
    <n v="45000223"/>
    <d v="2026-01-08T00:00:00"/>
    <s v="FORN-002"/>
    <s v="SKF do Brasil Ltda"/>
    <n v="59"/>
    <n v="6.5"/>
    <n v="383.5"/>
    <d v="2026-01-15T00:00:00"/>
    <d v="2026-01-18T00:00:00"/>
    <x v="1"/>
    <s v="Atrasado"/>
    <n v="3"/>
    <n v="10"/>
  </r>
  <r>
    <n v="3003"/>
    <s v="Polia Motora"/>
    <n v="45000162"/>
    <d v="2026-01-10T00:00:00"/>
    <s v="FORN-003"/>
    <s v="WEG Equipamentos Eletricos"/>
    <n v="77"/>
    <n v="2450"/>
    <n v="188650"/>
    <d v="2026-01-17T00:00:00"/>
    <m/>
    <x v="0"/>
    <s v=""/>
    <s v=""/>
    <s v=""/>
  </r>
  <r>
    <n v="9003"/>
    <s v="Arruela de Pressao M24"/>
    <n v="45000226"/>
    <d v="2026-02-12T00:00:00"/>
    <s v="FORN-003"/>
    <s v="WEG Equipamentos Eletricos"/>
    <n v="69"/>
    <n v="2.2000000000000002"/>
    <n v="151.80000000000001"/>
    <d v="2026-02-19T00:00:00"/>
    <d v="2026-02-19T00:00:00"/>
    <x v="1"/>
    <s v="No Prazo"/>
    <n v="0"/>
    <n v="7"/>
  </r>
  <r>
    <n v="9004"/>
    <s v="Chaveta de Fixacao"/>
    <n v="45000229"/>
    <d v="2026-02-14T00:00:00"/>
    <s v="FORN-004"/>
    <s v="Parker Hannifin Ind. e Com."/>
    <n v="31"/>
    <n v="45"/>
    <n v="1395"/>
    <d v="2026-02-21T00:00:00"/>
    <d v="2026-02-21T00:00:00"/>
    <x v="1"/>
    <s v="No Prazo"/>
    <n v="0"/>
    <n v="7"/>
  </r>
  <r>
    <n v="3004"/>
    <s v="Polia Movida"/>
    <n v="45000165"/>
    <d v="2026-02-16T00:00:00"/>
    <s v="FORN-004"/>
    <s v="Parker Hannifin Ind. e Com."/>
    <n v="23"/>
    <n v="2180"/>
    <n v="50140"/>
    <d v="2026-02-23T00:00:00"/>
    <m/>
    <x v="0"/>
    <s v=""/>
    <s v=""/>
    <s v=""/>
  </r>
  <r>
    <n v="9005"/>
    <s v="Anel de Vedacao O-ring"/>
    <n v="45000232"/>
    <d v="2026-03-18T00:00:00"/>
    <s v="FORN-005"/>
    <s v="Continental Correias Ind."/>
    <n v="49"/>
    <n v="8.9"/>
    <n v="436.1"/>
    <d v="2026-03-25T00:00:00"/>
    <d v="2026-03-25T00:00:00"/>
    <x v="1"/>
    <s v="No Prazo"/>
    <n v="0"/>
    <n v="7"/>
  </r>
  <r>
    <n v="2001"/>
    <s v="Mandibula Fixa do Britador"/>
    <n v="45000101"/>
    <d v="2025-03-19T00:00:00"/>
    <s v="FORN-002"/>
    <s v="SKF do Brasil Ltda"/>
    <n v="34"/>
    <n v="18500"/>
    <n v="629000"/>
    <d v="2025-03-26T00:00:00"/>
    <d v="2025-03-29T00:00:00"/>
    <x v="1"/>
    <s v="Atrasado"/>
    <n v="3"/>
    <n v="10"/>
  </r>
  <r>
    <n v="4001"/>
    <s v="Mola de Compressao"/>
    <n v="45000168"/>
    <d v="2026-03-17T00:00:00"/>
    <s v="FORN-005"/>
    <s v="Continental Correias Ind."/>
    <n v="80"/>
    <n v="3200"/>
    <n v="256000"/>
    <d v="2026-03-24T00:00:00"/>
    <m/>
    <x v="0"/>
    <s v=""/>
    <s v=""/>
    <s v=""/>
  </r>
  <r>
    <n v="2002"/>
    <s v="Mandibula Movel do Britador"/>
    <n v="45000104"/>
    <d v="2025-04-15T00:00:00"/>
    <s v="FORN-003"/>
    <s v="WEG Equipamentos Eletricos"/>
    <n v="20"/>
    <n v="19800"/>
    <n v="396000"/>
    <d v="2025-04-22T00:00:00"/>
    <d v="2025-04-22T00:00:00"/>
    <x v="1"/>
    <s v="No Prazo"/>
    <n v="0"/>
    <n v="7"/>
  </r>
  <r>
    <n v="2003"/>
    <s v="Revestimento Concavo"/>
    <n v="45000107"/>
    <d v="2025-04-13T00:00:00"/>
    <s v="FORN-004"/>
    <s v="Parker Hannifin Ind. e Com."/>
    <n v="12"/>
    <n v="12400"/>
    <n v="148800"/>
    <d v="2025-04-20T00:00:00"/>
    <d v="2025-04-20T00:00:00"/>
    <x v="1"/>
    <s v="No Prazo"/>
    <n v="0"/>
    <n v="7"/>
  </r>
  <r>
    <n v="3003"/>
    <s v="Polia Motora"/>
    <n v="45000160"/>
    <d v="2026-07-15T00:00:00"/>
    <s v="FORN-001"/>
    <s v="Metso Outotec Brasil"/>
    <n v="15"/>
    <n v="2450"/>
    <n v="36750"/>
    <d v="2026-07-22T00:00:00"/>
    <d v="2026-07-22T00:00:00"/>
    <x v="1"/>
    <s v="No Prazo"/>
    <n v="0"/>
    <n v="7"/>
  </r>
  <r>
    <n v="2004"/>
    <s v="Revestimento Manto"/>
    <n v="45000110"/>
    <d v="2026-05-09T00:00:00"/>
    <s v="FORN-005"/>
    <s v="Continental Correias Ind."/>
    <n v="59"/>
    <n v="11800"/>
    <n v="696200"/>
    <d v="2026-05-16T00:00:00"/>
    <d v="2026-05-16T00:00:00"/>
    <x v="1"/>
    <s v="No Prazo"/>
    <n v="0"/>
    <n v="7"/>
  </r>
  <r>
    <n v="5002"/>
    <s v="Motor Eletrico 75cv"/>
    <n v="45000175"/>
    <d v="2026-01-11T00:00:00"/>
    <s v="FORN-001"/>
    <s v="Metso Outotec Brasil"/>
    <n v="20"/>
    <n v="17800"/>
    <n v="356000"/>
    <d v="2026-01-15T00:00:00"/>
    <d v="2026-01-15T00:00:00"/>
    <x v="1"/>
    <s v="No Prazo"/>
    <n v="0"/>
    <n v="4"/>
  </r>
  <r>
    <n v="5001"/>
    <s v="Motor Eletrico 150cv"/>
    <n v="45000174"/>
    <d v="2026-05-05T00:00:00"/>
    <s v="FORN-002"/>
    <s v="SKF do Brasil Ltda"/>
    <n v="56"/>
    <n v="32500"/>
    <n v="1820000"/>
    <d v="2026-05-12T00:00:00"/>
    <m/>
    <x v="0"/>
    <s v=""/>
    <s v=""/>
    <s v=""/>
  </r>
  <r>
    <n v="2006"/>
    <s v="Chapa de Desgaste"/>
    <n v="45000116"/>
    <d v="2026-06-03T00:00:00"/>
    <s v="FORN-002"/>
    <s v="SKF do Brasil Ltda"/>
    <n v="26"/>
    <n v="2870"/>
    <n v="74620"/>
    <d v="2026-06-10T00:00:00"/>
    <d v="2026-06-10T00:00:00"/>
    <x v="1"/>
    <s v="No Prazo"/>
    <n v="0"/>
    <n v="7"/>
  </r>
  <r>
    <n v="2007"/>
    <s v="Placa de Impacto"/>
    <n v="45000119"/>
    <d v="2026-06-01T00:00:00"/>
    <s v="FORN-003"/>
    <s v="WEG Equipamentos Eletricos"/>
    <n v="37"/>
    <n v="1980"/>
    <n v="73260"/>
    <d v="2026-06-08T00:00:00"/>
    <d v="2026-06-08T00:00:00"/>
    <x v="1"/>
    <s v="No Prazo"/>
    <n v="0"/>
    <n v="7"/>
  </r>
  <r>
    <n v="5002"/>
    <s v="Motor Eletrico 75cv"/>
    <n v="45000177"/>
    <d v="2026-06-10T00:00:00"/>
    <s v="FORN-003"/>
    <s v="WEG Equipamentos Eletricos"/>
    <n v="58"/>
    <n v="17800"/>
    <n v="1032400"/>
    <d v="2026-09-17T00:00:00"/>
    <m/>
    <x v="2"/>
    <s v=""/>
    <s v=""/>
    <s v=""/>
  </r>
  <r>
    <n v="2008"/>
    <s v="Eixo Excentrico"/>
    <n v="45000122"/>
    <d v="2026-07-18T00:00:00"/>
    <s v="FORN-004"/>
    <s v="Parker Hannifin Ind. e Com."/>
    <n v="11"/>
    <n v="24500"/>
    <n v="269500"/>
    <d v="2026-07-25T00:00:00"/>
    <d v="2026-07-25T00:00:00"/>
    <x v="1"/>
    <s v="No Prazo"/>
    <n v="0"/>
    <n v="7"/>
  </r>
  <r>
    <n v="2009"/>
    <s v="Bucha de Bronze"/>
    <n v="45000125"/>
    <d v="2026-07-19T00:00:00"/>
    <s v="FORN-005"/>
    <s v="Continental Correias Ind."/>
    <n v="37"/>
    <n v="1650"/>
    <n v="61050"/>
    <d v="2026-07-26T00:00:00"/>
    <d v="2026-07-28T00:00:00"/>
    <x v="1"/>
    <s v="Atrasado"/>
    <n v="2"/>
    <n v="9"/>
  </r>
  <r>
    <n v="5003"/>
    <s v="Painel de Comando"/>
    <n v="45000180"/>
    <d v="2026-07-15T00:00:00"/>
    <s v="FORN-004"/>
    <s v="Parker Hannifin Ind. e Com."/>
    <n v="96"/>
    <n v="8900"/>
    <n v="854400"/>
    <d v="2026-07-22T00:00:00"/>
    <m/>
    <x v="0"/>
    <s v=""/>
    <s v=""/>
    <s v=""/>
  </r>
  <r>
    <n v="5007"/>
    <s v="Contator Tripolar"/>
    <n v="45000190"/>
    <d v="2026-04-15T00:00:00"/>
    <s v="FORN-001"/>
    <s v="Metso Outotec Brasil"/>
    <n v="65"/>
    <n v="340"/>
    <n v="22100"/>
    <d v="2026-04-22T00:00:00"/>
    <d v="2026-04-22T00:00:00"/>
    <x v="1"/>
    <s v="No Prazo"/>
    <n v="0"/>
    <n v="7"/>
  </r>
  <r>
    <n v="2011"/>
    <s v="Volante de Inercia"/>
    <n v="45000131"/>
    <d v="2026-08-09T00:00:00"/>
    <s v="FORN-002"/>
    <s v="SKF do Brasil Ltda"/>
    <n v="24"/>
    <n v="9800"/>
    <n v="235200"/>
    <d v="2026-08-16T00:00:00"/>
    <d v="2026-08-16T00:00:00"/>
    <x v="1"/>
    <s v="No Prazo"/>
    <n v="0"/>
    <n v="7"/>
  </r>
  <r>
    <n v="5004"/>
    <s v="Sensor de Vibracao"/>
    <n v="45000183"/>
    <d v="2026-08-07T00:00:00"/>
    <s v="FORN-005"/>
    <s v="Continental Correias Ind."/>
    <n v="62"/>
    <n v="1350"/>
    <n v="83700"/>
    <d v="2026-08-14T00:00:00"/>
    <m/>
    <x v="0"/>
    <s v=""/>
    <s v=""/>
    <s v=""/>
  </r>
  <r>
    <n v="2012"/>
    <s v="Grelha Vibratoria"/>
    <n v="45000134"/>
    <d v="2026-01-06T00:00:00"/>
    <s v="FORN-003"/>
    <s v="WEG Equipamentos Eletricos"/>
    <n v="51"/>
    <n v="5400"/>
    <n v="275400"/>
    <d v="2026-01-13T00:00:00"/>
    <d v="2026-01-13T00:00:00"/>
    <x v="1"/>
    <s v="No Prazo"/>
    <n v="0"/>
    <n v="7"/>
  </r>
  <r>
    <n v="2356"/>
    <s v="Rolamento 6205"/>
    <n v="45000137"/>
    <d v="2026-01-08T00:00:00"/>
    <s v="FORN-004"/>
    <s v="Parker Hannifin Ind. e Com."/>
    <n v="37"/>
    <n v="145"/>
    <n v="5365"/>
    <d v="2026-01-15T00:00:00"/>
    <d v="2026-01-15T00:00:00"/>
    <x v="1"/>
    <s v="No Prazo"/>
    <n v="0"/>
    <n v="7"/>
  </r>
  <r>
    <n v="7001"/>
    <s v="Filtro Hidraulico"/>
    <n v="45000205"/>
    <d v="2026-06-01T00:00:00"/>
    <s v="FORN-001"/>
    <s v="Metso Outotec Brasil"/>
    <n v="45"/>
    <n v="210"/>
    <n v="9450"/>
    <d v="2026-06-08T00:00:00"/>
    <d v="2026-06-08T00:00:00"/>
    <x v="1"/>
    <s v="No Prazo"/>
    <n v="0"/>
    <n v="7"/>
  </r>
  <r>
    <n v="2357"/>
    <s v="Rolamento 6308"/>
    <n v="45000140"/>
    <d v="2026-02-12T00:00:00"/>
    <s v="FORN-005"/>
    <s v="Continental Correias Ind."/>
    <n v="58"/>
    <n v="210"/>
    <n v="12180"/>
    <d v="2026-02-19T00:00:00"/>
    <d v="2026-02-19T00:00:00"/>
    <x v="1"/>
    <s v="No Prazo"/>
    <n v="0"/>
    <n v="7"/>
  </r>
  <r>
    <n v="9001"/>
    <s v="Parafuso Allen M24"/>
    <n v="45000220"/>
    <d v="2026-01-06T00:00:00"/>
    <s v="FORN-001"/>
    <s v="Metso Outotec Brasil"/>
    <n v="45"/>
    <n v="18"/>
    <n v="810"/>
    <d v="2026-01-13T00:00:00"/>
    <d v="2026-01-13T00:00:00"/>
    <x v="1"/>
    <s v="No Prazo"/>
    <n v="0"/>
    <n v="7"/>
  </r>
  <r>
    <n v="5006"/>
    <s v="Cabo Eletrico 4x10mm"/>
    <n v="45000189"/>
    <d v="2026-02-16T00:00:00"/>
    <s v="FORN-002"/>
    <s v="SKF do Brasil Ltda"/>
    <n v="82"/>
    <n v="22"/>
    <n v="1804"/>
    <d v="2026-02-23T00:00:00"/>
    <m/>
    <x v="0"/>
    <s v=""/>
    <s v=""/>
    <s v=""/>
  </r>
  <r>
    <n v="2359"/>
    <s v="Rolamento Esferico 22318"/>
    <n v="45000146"/>
    <d v="2026-03-18T00:00:00"/>
    <s v="FORN-002"/>
    <s v="SKF do Brasil Ltda"/>
    <n v="28"/>
    <n v="1240"/>
    <n v="34720"/>
    <d v="2026-03-25T00:00:00"/>
    <d v="2026-03-25T00:00:00"/>
    <x v="1"/>
    <s v="No Prazo"/>
    <n v="0"/>
    <n v="7"/>
  </r>
  <r>
    <n v="2360"/>
    <s v="Rolamento Autocompensador 22222"/>
    <n v="45000149"/>
    <d v="2026-03-19T00:00:00"/>
    <s v="FORN-003"/>
    <s v="WEG Equipamentos Eletricos"/>
    <n v="44"/>
    <n v="2380"/>
    <n v="104720"/>
    <d v="2026-03-26T00:00:00"/>
    <d v="2026-03-28T00:00:00"/>
    <x v="1"/>
    <s v="Atrasado"/>
    <n v="2"/>
    <n v="9"/>
  </r>
  <r>
    <n v="5007"/>
    <s v="Contator Tripolar"/>
    <n v="45000192"/>
    <d v="2026-03-17T00:00:00"/>
    <s v="FORN-003"/>
    <s v="WEG Equipamentos Eletricos"/>
    <n v="55"/>
    <n v="340"/>
    <n v="18700"/>
    <d v="2026-03-24T00:00:00"/>
    <m/>
    <x v="0"/>
    <s v=""/>
    <s v=""/>
    <s v=""/>
  </r>
  <r>
    <n v="2361"/>
    <s v="Retentor de Vedacao"/>
    <n v="45000152"/>
    <d v="2026-04-15T00:00:00"/>
    <s v="FORN-004"/>
    <s v="Parker Hannifin Ind. e Com."/>
    <n v="18"/>
    <n v="68"/>
    <n v="1224"/>
    <d v="2026-04-22T00:00:00"/>
    <d v="2026-04-22T00:00:00"/>
    <x v="1"/>
    <s v="No Prazo"/>
    <n v="0"/>
    <n v="7"/>
  </r>
  <r>
    <n v="3001"/>
    <s v="Correia Transportadora B-1200"/>
    <n v="45000155"/>
    <d v="2026-04-13T00:00:00"/>
    <s v="FORN-005"/>
    <s v="Continental Correias Ind."/>
    <n v="27"/>
    <n v="320"/>
    <n v="8640"/>
    <d v="2026-04-20T00:00:00"/>
    <d v="2026-04-20T00:00:00"/>
    <x v="1"/>
    <s v="No Prazo"/>
    <n v="0"/>
    <n v="7"/>
  </r>
  <r>
    <n v="6001"/>
    <s v="Cilindro Hidraulico de Ajuste"/>
    <n v="45000195"/>
    <d v="2026-04-11T00:00:00"/>
    <s v="FORN-004"/>
    <s v="Parker Hannifin Ind. e Com."/>
    <n v="68"/>
    <n v="15800"/>
    <n v="1074400"/>
    <d v="2026-04-18T00:00:00"/>
    <m/>
    <x v="0"/>
    <s v=""/>
    <s v=""/>
    <s v=""/>
  </r>
  <r>
    <n v="2005"/>
    <s v="Chapa Blindada Lateral"/>
    <n v="45000113"/>
    <d v="2026-05-12T00:00:00"/>
    <s v="FORN-001"/>
    <s v="Metso Outotec Brasil"/>
    <n v="46"/>
    <n v="3450"/>
    <n v="158700"/>
    <d v="2026-05-14T00:00:00"/>
    <d v="2026-05-14T00:00:00"/>
    <x v="1"/>
    <s v="No Prazo"/>
    <n v="0"/>
    <n v="2"/>
  </r>
  <r>
    <n v="3003"/>
    <s v="Polia Motora"/>
    <n v="45000161"/>
    <d v="2026-05-07T00:00:00"/>
    <s v="FORN-002"/>
    <s v="SKF do Brasil Ltda"/>
    <n v="23"/>
    <n v="2450"/>
    <n v="56350"/>
    <d v="2026-05-14T00:00:00"/>
    <d v="2026-05-14T00:00:00"/>
    <x v="1"/>
    <s v="No Prazo"/>
    <n v="0"/>
    <n v="7"/>
  </r>
  <r>
    <n v="6002"/>
    <s v="Bomba Hidraulica"/>
    <n v="45000198"/>
    <d v="2026-05-05T00:00:00"/>
    <s v="FORN-005"/>
    <s v="Continental Correias Ind."/>
    <n v="74"/>
    <n v="6900"/>
    <n v="510600"/>
    <d v="2026-05-12T00:00:00"/>
    <m/>
    <x v="0"/>
    <s v=""/>
    <s v=""/>
    <s v=""/>
  </r>
  <r>
    <n v="3004"/>
    <s v="Polia Movida"/>
    <n v="45000164"/>
    <d v="2026-06-03T00:00:00"/>
    <s v="FORN-003"/>
    <s v="WEG Equipamentos Eletricos"/>
    <n v="16"/>
    <n v="2180"/>
    <n v="34880"/>
    <d v="2026-06-10T00:00:00"/>
    <d v="2026-06-10T00:00:00"/>
    <x v="1"/>
    <s v="No Prazo"/>
    <n v="0"/>
    <n v="7"/>
  </r>
  <r>
    <n v="4001"/>
    <s v="Mola de Compressao"/>
    <n v="45000167"/>
    <d v="2026-06-01T00:00:00"/>
    <s v="FORN-004"/>
    <s v="Parker Hannifin Ind. e Com."/>
    <n v="33"/>
    <n v="3200"/>
    <n v="105600"/>
    <d v="2026-06-08T00:00:00"/>
    <d v="2026-06-15T00:00:00"/>
    <x v="1"/>
    <s v="Atrasado"/>
    <n v="7"/>
    <n v="14"/>
  </r>
  <r>
    <n v="2010"/>
    <s v="Bucha Excentrica"/>
    <n v="45000128"/>
    <d v="2026-08-13T00:00:00"/>
    <s v="FORN-001"/>
    <s v="Metso Outotec Brasil"/>
    <n v="59"/>
    <n v="2150"/>
    <n v="126850"/>
    <d v="2026-08-20T00:00:00"/>
    <d v="2026-08-20T00:00:00"/>
    <x v="1"/>
    <s v="No Prazo"/>
    <n v="0"/>
    <n v="7"/>
  </r>
  <r>
    <n v="4002"/>
    <s v="Amortecedor de Impacto"/>
    <n v="45000170"/>
    <d v="2026-07-18T00:00:00"/>
    <s v="FORN-005"/>
    <s v="Continental Correias Ind."/>
    <n v="51"/>
    <n v="4100"/>
    <n v="209100"/>
    <d v="2026-07-25T00:00:00"/>
    <d v="2026-07-25T00:00:00"/>
    <x v="1"/>
    <s v="No Prazo"/>
    <n v="0"/>
    <n v="7"/>
  </r>
  <r>
    <n v="2358"/>
    <s v="Rolamento de Rolos Conicos 32218"/>
    <n v="45000143"/>
    <d v="2026-02-14T00:00:00"/>
    <s v="FORN-001"/>
    <s v="Metso Outotec Brasil"/>
    <n v="55"/>
    <n v="890"/>
    <n v="48950"/>
    <d v="2026-02-21T00:00:00"/>
    <d v="2026-02-21T00:00:00"/>
    <x v="1"/>
    <s v="No Prazo"/>
    <n v="0"/>
    <n v="7"/>
  </r>
  <r>
    <n v="6004"/>
    <s v="Valvula Direcional"/>
    <n v="45000204"/>
    <d v="2026-07-15T00:00:00"/>
    <s v="FORN-002"/>
    <s v="SKF do Brasil Ltda"/>
    <n v="71"/>
    <n v="2650"/>
    <n v="188150"/>
    <d v="2026-07-22T00:00:00"/>
    <m/>
    <x v="0"/>
    <s v=""/>
    <s v=""/>
    <s v=""/>
  </r>
  <r>
    <n v="5002"/>
    <s v="Motor Eletrico 75cv"/>
    <n v="45000176"/>
    <d v="2026-08-13T00:00:00"/>
    <s v="FORN-002"/>
    <s v="SKF do Brasil Ltda"/>
    <n v="17"/>
    <n v="17800"/>
    <n v="302600"/>
    <d v="2026-08-20T00:00:00"/>
    <d v="2026-08-20T00:00:00"/>
    <x v="1"/>
    <s v="No Prazo"/>
    <n v="0"/>
    <n v="7"/>
  </r>
  <r>
    <n v="5003"/>
    <s v="Painel de Comando"/>
    <n v="45000179"/>
    <d v="2026-08-09T00:00:00"/>
    <s v="FORN-003"/>
    <s v="WEG Equipamentos Eletricos"/>
    <n v="30"/>
    <n v="8900"/>
    <n v="267000"/>
    <d v="2026-08-16T00:00:00"/>
    <d v="2026-08-16T00:00:00"/>
    <x v="1"/>
    <s v="No Prazo"/>
    <n v="0"/>
    <n v="7"/>
  </r>
  <r>
    <n v="7001"/>
    <s v="Filtro Hidraulico"/>
    <n v="45000207"/>
    <d v="2026-08-07T00:00:00"/>
    <s v="FORN-003"/>
    <s v="WEG Equipamentos Eletricos"/>
    <n v="44"/>
    <n v="210"/>
    <n v="9240"/>
    <d v="2026-08-14T00:00:00"/>
    <m/>
    <x v="0"/>
    <s v=""/>
    <s v=""/>
    <s v=""/>
  </r>
  <r>
    <n v="5004"/>
    <s v="Sensor de Vibracao"/>
    <n v="45000182"/>
    <d v="2026-01-06T00:00:00"/>
    <s v="FORN-004"/>
    <s v="Parker Hannifin Ind. e Com."/>
    <n v="48"/>
    <n v="1350"/>
    <n v="64800"/>
    <d v="2026-01-13T00:00:00"/>
    <d v="2026-01-13T00:00:00"/>
    <x v="1"/>
    <s v="No Prazo"/>
    <n v="0"/>
    <n v="7"/>
  </r>
  <r>
    <n v="5005"/>
    <s v="Sensor de Temperatura"/>
    <n v="45000185"/>
    <d v="2026-01-08T00:00:00"/>
    <s v="FORN-005"/>
    <s v="Continental Correias Ind."/>
    <n v="10"/>
    <n v="780"/>
    <n v="7800"/>
    <d v="2026-01-15T00:00:00"/>
    <d v="2026-01-15T00:00:00"/>
    <x v="1"/>
    <s v="No Prazo"/>
    <n v="0"/>
    <n v="7"/>
  </r>
  <r>
    <n v="7002"/>
    <s v="Filtro de Oleo Lubrificante"/>
    <n v="45000210"/>
    <d v="2026-01-10T00:00:00"/>
    <s v="FORN-004"/>
    <s v="Parker Hannifin Ind. e Com."/>
    <n v="65"/>
    <n v="95"/>
    <n v="6175"/>
    <d v="2026-01-17T00:00:00"/>
    <m/>
    <x v="0"/>
    <s v=""/>
    <s v=""/>
    <s v=""/>
  </r>
  <r>
    <n v="3002"/>
    <s v="Correia em V A-75"/>
    <n v="45000158"/>
    <d v="2026-05-09T00:00:00"/>
    <s v="FORN-001"/>
    <s v="Metso Outotec Brasil"/>
    <n v="50"/>
    <n v="95"/>
    <n v="4750"/>
    <d v="2026-05-16T00:00:00"/>
    <d v="2026-05-16T00:00:00"/>
    <x v="1"/>
    <s v="No Prazo"/>
    <n v="0"/>
    <n v="7"/>
  </r>
  <r>
    <n v="5007"/>
    <s v="Contator Tripolar"/>
    <n v="45000191"/>
    <d v="2026-02-14T00:00:00"/>
    <s v="FORN-002"/>
    <s v="SKF do Brasil Ltda"/>
    <n v="14"/>
    <n v="340"/>
    <n v="4760"/>
    <d v="2026-02-21T00:00:00"/>
    <d v="2026-02-21T00:00:00"/>
    <x v="1"/>
    <s v="No Prazo"/>
    <n v="0"/>
    <n v="7"/>
  </r>
  <r>
    <n v="7003"/>
    <s v="Filtro de Ar"/>
    <n v="45000213"/>
    <d v="2026-02-16T00:00:00"/>
    <s v="FORN-005"/>
    <s v="Continental Correias Ind."/>
    <n v="36"/>
    <n v="130"/>
    <n v="4680"/>
    <d v="2026-02-23T00:00:00"/>
    <m/>
    <x v="0"/>
    <s v=""/>
    <s v=""/>
    <s v=""/>
  </r>
  <r>
    <n v="6001"/>
    <s v="Cilindro Hidraulico de Ajuste"/>
    <n v="45000194"/>
    <d v="2026-03-18T00:00:00"/>
    <s v="FORN-003"/>
    <s v="WEG Equipamentos Eletricos"/>
    <n v="19"/>
    <n v="15800"/>
    <n v="300200"/>
    <d v="2026-03-25T00:00:00"/>
    <d v="2026-03-25T00:00:00"/>
    <x v="1"/>
    <s v="No Prazo"/>
    <n v="0"/>
    <n v="7"/>
  </r>
  <r>
    <n v="6002"/>
    <s v="Bomba Hidraulica"/>
    <n v="45000197"/>
    <d v="2026-03-19T00:00:00"/>
    <s v="FORN-004"/>
    <s v="Parker Hannifin Ind. e Com."/>
    <n v="35"/>
    <n v="6900"/>
    <n v="241500"/>
    <d v="2026-03-26T00:00:00"/>
    <d v="2026-03-26T00:00:00"/>
    <x v="1"/>
    <s v="No Prazo"/>
    <n v="0"/>
    <n v="7"/>
  </r>
  <r>
    <n v="5001"/>
    <s v="Motor Eletrico 150cv"/>
    <n v="45000173"/>
    <d v="2026-07-25T00:00:00"/>
    <s v="FORN-001"/>
    <s v="Metso Outotec Brasil"/>
    <n v="53"/>
    <n v="32500"/>
    <n v="1722500"/>
    <d v="2026-07-26T00:00:00"/>
    <d v="2026-07-26T00:00:00"/>
    <x v="1"/>
    <s v="No Prazo"/>
    <n v="0"/>
    <n v="1"/>
  </r>
  <r>
    <n v="6003"/>
    <s v="Mangueira Hidraulica 1 polegada"/>
    <n v="45000200"/>
    <d v="2026-04-15T00:00:00"/>
    <s v="FORN-005"/>
    <s v="Continental Correias Ind."/>
    <n v="47"/>
    <n v="85"/>
    <n v="3995"/>
    <d v="2026-04-22T00:00:00"/>
    <d v="2026-04-22T00:00:00"/>
    <x v="1"/>
    <s v="No Prazo"/>
    <n v="0"/>
    <n v="7"/>
  </r>
  <r>
    <n v="5006"/>
    <s v="Cabo Eletrico 4x10mm"/>
    <n v="45000188"/>
    <d v="2026-02-18T00:00:00"/>
    <s v="FORN-001"/>
    <s v="Metso Outotec Brasil"/>
    <n v="14"/>
    <n v="22"/>
    <n v="308"/>
    <d v="2026-02-19T00:00:00"/>
    <d v="2026-02-19T00:00:00"/>
    <x v="1"/>
    <s v="No Prazo"/>
    <n v="0"/>
    <n v="1"/>
  </r>
  <r>
    <n v="8002"/>
    <s v="Graxa Industrial EP2"/>
    <n v="45000219"/>
    <d v="2026-04-11T00:00:00"/>
    <s v="FORN-002"/>
    <s v="SKF do Brasil Ltda"/>
    <n v="28"/>
    <n v="32"/>
    <n v="896"/>
    <d v="2026-04-18T00:00:00"/>
    <m/>
    <x v="0"/>
    <s v=""/>
    <s v=""/>
    <s v=""/>
  </r>
  <r>
    <n v="7001"/>
    <s v="Filtro Hidraulico"/>
    <n v="45000206"/>
    <d v="2026-05-09T00:00:00"/>
    <s v="FORN-002"/>
    <s v="SKF do Brasil Ltda"/>
    <n v="12"/>
    <n v="210"/>
    <n v="2520"/>
    <d v="2026-05-16T00:00:00"/>
    <d v="2026-05-16T00:00:00"/>
    <x v="1"/>
    <s v="No Prazo"/>
    <n v="0"/>
    <n v="7"/>
  </r>
  <r>
    <n v="7002"/>
    <s v="Filtro de Oleo Lubrificante"/>
    <n v="45000209"/>
    <d v="2026-05-07T00:00:00"/>
    <s v="FORN-003"/>
    <s v="WEG Equipamentos Eletricos"/>
    <n v="27"/>
    <n v="95"/>
    <n v="2565"/>
    <d v="2026-05-14T00:00:00"/>
    <d v="2026-05-14T00:00:00"/>
    <x v="1"/>
    <s v="No Prazo"/>
    <n v="0"/>
    <n v="7"/>
  </r>
  <r>
    <n v="9001"/>
    <s v="Parafuso Allen M24"/>
    <n v="45000222"/>
    <d v="2026-05-05T00:00:00"/>
    <s v="FORN-003"/>
    <s v="WEG Equipamentos Eletricos"/>
    <n v="38"/>
    <n v="18"/>
    <n v="684"/>
    <d v="2026-05-12T00:00:00"/>
    <m/>
    <x v="0"/>
    <s v=""/>
    <s v=""/>
    <s v=""/>
  </r>
  <r>
    <n v="7003"/>
    <s v="Filtro de Ar"/>
    <n v="45000212"/>
    <d v="2026-06-03T00:00:00"/>
    <s v="FORN-004"/>
    <s v="Parker Hannifin Ind. e Com."/>
    <n v="45"/>
    <n v="130"/>
    <n v="5850"/>
    <d v="2026-06-10T00:00:00"/>
    <d v="2026-06-10T00:00:00"/>
    <x v="1"/>
    <s v="No Prazo"/>
    <n v="0"/>
    <n v="7"/>
  </r>
  <r>
    <n v="8001"/>
    <s v="Oleo Lubrificante ISO 220"/>
    <n v="45000215"/>
    <d v="2026-06-01T00:00:00"/>
    <s v="FORN-005"/>
    <s v="Continental Correias Ind."/>
    <n v="32"/>
    <n v="28"/>
    <n v="896"/>
    <d v="2026-06-08T00:00:00"/>
    <d v="2026-06-08T00:00:00"/>
    <x v="1"/>
    <s v="No Prazo"/>
    <n v="0"/>
    <n v="7"/>
  </r>
  <r>
    <n v="9002"/>
    <s v="Porca Sextavada M24"/>
    <n v="45000225"/>
    <d v="2026-06-10T00:00:00"/>
    <s v="FORN-004"/>
    <s v="Parker Hannifin Ind. e Com."/>
    <n v="93"/>
    <n v="6.5"/>
    <n v="604.5"/>
    <d v="2026-06-17T00:00:00"/>
    <m/>
    <x v="0"/>
    <s v=""/>
    <s v=""/>
    <s v=""/>
  </r>
  <r>
    <n v="6004"/>
    <s v="Valvula Direcional"/>
    <n v="45000203"/>
    <d v="2026-04-13T00:00:00"/>
    <s v="FORN-001"/>
    <s v="Metso Outotec Brasil"/>
    <n v="53"/>
    <n v="2650"/>
    <n v="140450"/>
    <d v="2026-04-20T00:00:00"/>
    <d v="2026-04-20T00:00:00"/>
    <x v="1"/>
    <s v="No Prazo"/>
    <n v="0"/>
    <n v="7"/>
  </r>
  <r>
    <n v="9001"/>
    <s v="Parafuso Allen M24"/>
    <n v="45000221"/>
    <d v="2026-07-19T00:00:00"/>
    <s v="FORN-002"/>
    <s v="SKF do Brasil Ltda"/>
    <n v="22"/>
    <n v="18"/>
    <n v="396"/>
    <d v="2026-07-26T00:00:00"/>
    <d v="2026-07-26T00:00:00"/>
    <x v="1"/>
    <s v="No Prazo"/>
    <n v="0"/>
    <n v="7"/>
  </r>
  <r>
    <n v="9003"/>
    <s v="Arruela de Pressao M24"/>
    <n v="45000228"/>
    <d v="2026-07-15T00:00:00"/>
    <s v="FORN-005"/>
    <s v="Continental Correias Ind."/>
    <n v="86"/>
    <n v="2.2000000000000002"/>
    <n v="189.20000000000002"/>
    <d v="2026-07-22T00:00:00"/>
    <m/>
    <x v="0"/>
    <s v=""/>
    <s v=""/>
    <s v=""/>
  </r>
  <r>
    <n v="9002"/>
    <s v="Porca Sextavada M24"/>
    <n v="45000224"/>
    <d v="2026-08-13T00:00:00"/>
    <s v="FORN-003"/>
    <s v="WEG Equipamentos Eletricos"/>
    <n v="10"/>
    <n v="6.5"/>
    <n v="65"/>
    <d v="2026-08-20T00:00:00"/>
    <d v="2026-08-20T00:00:00"/>
    <x v="1"/>
    <s v="No Prazo"/>
    <n v="0"/>
    <n v="7"/>
  </r>
  <r>
    <n v="9003"/>
    <s v="Arruela de Pressao M24"/>
    <n v="45000227"/>
    <d v="2026-08-09T00:00:00"/>
    <s v="FORN-004"/>
    <s v="Parker Hannifin Ind. e Com."/>
    <n v="38"/>
    <n v="2.2000000000000002"/>
    <n v="83.600000000000009"/>
    <d v="2026-08-16T00:00:00"/>
    <d v="2026-08-16T00:00:00"/>
    <x v="1"/>
    <s v="No Prazo"/>
    <n v="0"/>
    <n v="7"/>
  </r>
  <r>
    <n v="8002"/>
    <s v="Graxa Industrial EP2"/>
    <n v="45000218"/>
    <d v="2026-07-18T00:00:00"/>
    <s v="FORN-001"/>
    <s v="Metso Outotec Brasil"/>
    <n v="20"/>
    <n v="32"/>
    <n v="640"/>
    <d v="2026-07-25T00:00:00"/>
    <d v="2026-07-25T00:00:00"/>
    <x v="1"/>
    <s v="No Prazo"/>
    <n v="0"/>
    <n v="7"/>
  </r>
  <r>
    <n v="9004"/>
    <s v="Chaveta de Fixacao"/>
    <n v="45000230"/>
    <d v="2026-05-12T00:00:00"/>
    <s v="FORN-005"/>
    <s v="Continental Correias Ind."/>
    <n v="15"/>
    <n v="45"/>
    <n v="675"/>
    <d v="2026-05-19T00:00:00"/>
    <d v="2026-05-19T00:00:00"/>
    <x v="1"/>
    <s v="No Prazo"/>
    <n v="0"/>
    <n v="7"/>
  </r>
  <r>
    <n v="9005"/>
    <s v="Anel de Vedacao O-ring"/>
    <n v="45000233"/>
    <d v="2026-05-18T00:00:00"/>
    <s v="FORN-001"/>
    <s v="Metso Outotec Brasil"/>
    <n v="13"/>
    <n v="8.9"/>
    <n v="115.7"/>
    <d v="2026-05-19T00:00:00"/>
    <d v="2026-05-19T00:00:00"/>
    <x v="1"/>
    <s v="No Prazo"/>
    <n v="0"/>
    <n v="1"/>
  </r>
  <r>
    <n v="9005"/>
    <s v="Anel de Vedacao O-ring"/>
    <n v="45000234"/>
    <d v="2026-08-05T00:00:00"/>
    <s v="FORN-002"/>
    <s v="SKF do Brasil Ltda"/>
    <n v="98"/>
    <n v="8.9"/>
    <n v="872.2"/>
    <d v="2026-09-12T00:00:00"/>
    <m/>
    <x v="2"/>
    <s v=""/>
    <s v=""/>
    <s v=""/>
  </r>
  <r>
    <n v="9004"/>
    <s v="Chaveta de Fixacao"/>
    <n v="45000234"/>
    <d v="2026-08-05T00:00:00"/>
    <s v="FORN-002"/>
    <s v="Continental Correias Ind."/>
    <n v="15"/>
    <n v="45"/>
    <n v="675"/>
    <d v="2026-09-12T00:00:00"/>
    <m/>
    <x v="2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05"/>
    <s v="Chapa Blindada Lateral"/>
    <n v="450002304"/>
    <s v="FORN-005"/>
    <s v="Continental Correias Ind."/>
    <d v="2026-07-15T00:00:00"/>
    <n v="8"/>
    <x v="0"/>
    <s v="-"/>
  </r>
  <r>
    <n v="2011"/>
    <s v="Volante de Inercia"/>
    <n v="450002310"/>
    <s v="FORN-005"/>
    <s v="Continental Correias Ind."/>
    <d v="2026-06-21T00:00:00"/>
    <n v="2"/>
    <x v="0"/>
    <s v="-"/>
  </r>
  <r>
    <n v="2360"/>
    <s v="Rolamento Autocompensador 22222"/>
    <n v="450002316"/>
    <s v="FORN-005"/>
    <s v="Continental Correias Ind."/>
    <d v="2026-06-17T00:00:00"/>
    <n v="7"/>
    <x v="0"/>
    <s v="-"/>
  </r>
  <r>
    <n v="4001"/>
    <s v="Mola de Compressao"/>
    <n v="450002322"/>
    <s v="FORN-005"/>
    <s v="Continental Correias Ind."/>
    <d v="2026-06-26T00:00:00"/>
    <n v="3"/>
    <x v="1"/>
    <n v="59"/>
  </r>
  <r>
    <n v="2006"/>
    <s v="Chapa de Desgaste"/>
    <n v="450002305"/>
    <s v="FORN-001"/>
    <s v="Metso Outotec Brasil"/>
    <d v="2026-07-18T00:00:00"/>
    <n v="2"/>
    <x v="2"/>
    <n v="37"/>
  </r>
  <r>
    <n v="2001"/>
    <s v="Mandibula Fixa do Britador"/>
    <n v="450002300"/>
    <s v="FORN-001"/>
    <s v="Metso Outotec Brasil"/>
    <d v="2025-06-26T00:00:00"/>
    <n v="8"/>
    <x v="0"/>
    <s v="-"/>
  </r>
  <r>
    <n v="2007"/>
    <s v="Placa de Impacto"/>
    <n v="450002306"/>
    <s v="FORN-001"/>
    <s v="Metso Outotec Brasil"/>
    <d v="2026-05-04T00:00:00"/>
    <n v="4"/>
    <x v="2"/>
    <n v="112"/>
  </r>
  <r>
    <n v="2009"/>
    <s v="Bucha de Bronze"/>
    <n v="450002308"/>
    <s v="FORN-003"/>
    <s v="WEG Equipamentos Eletricos"/>
    <d v="2026-07-05T00:00:00"/>
    <n v="5"/>
    <x v="2"/>
    <n v="50"/>
  </r>
  <r>
    <n v="2012"/>
    <s v="Grelha Vibratoria"/>
    <n v="450002311"/>
    <s v="FORN-001"/>
    <s v="Metso Outotec Brasil"/>
    <d v="2026-06-09T00:00:00"/>
    <n v="5"/>
    <x v="0"/>
    <s v="-"/>
  </r>
  <r>
    <n v="2356"/>
    <s v="Rolamento 6205"/>
    <n v="450002312"/>
    <s v="FORN-001"/>
    <s v="Metso Outotec Brasil"/>
    <d v="2026-05-08T00:00:00"/>
    <n v="2"/>
    <x v="1"/>
    <n v="108"/>
  </r>
  <r>
    <n v="2361"/>
    <s v="Retentor de Vedacao"/>
    <n v="450002317"/>
    <s v="FORN-001"/>
    <s v="Metso Outotec Brasil"/>
    <d v="2026-05-09T00:00:00"/>
    <n v="4"/>
    <x v="1"/>
    <n v="107"/>
  </r>
  <r>
    <n v="3001"/>
    <s v="Correia Transportadora B-1200"/>
    <n v="450002318"/>
    <s v="FORN-001"/>
    <s v="Metso Outotec Brasil"/>
    <d v="2026-06-12T00:00:00"/>
    <n v="6"/>
    <x v="2"/>
    <n v="73"/>
  </r>
  <r>
    <n v="4002"/>
    <s v="Amortecedor de Impacto"/>
    <n v="450002323"/>
    <s v="FORN-001"/>
    <s v="Metso Outotec Brasil"/>
    <d v="2026-07-21T00:00:00"/>
    <n v="7"/>
    <x v="3"/>
    <n v="34"/>
  </r>
  <r>
    <n v="5001"/>
    <s v="Motor Eletrico 150cv"/>
    <n v="450002324"/>
    <s v="FORN-001"/>
    <s v="Metso Outotec Brasil"/>
    <d v="2026-05-27T00:00:00"/>
    <n v="5"/>
    <x v="2"/>
    <n v="89"/>
  </r>
  <r>
    <n v="5006"/>
    <s v="Cabo Eletrico 4x10mm"/>
    <n v="450002329"/>
    <s v="FORN-001"/>
    <s v="Metso Outotec Brasil"/>
    <d v="2026-05-01T00:00:00"/>
    <n v="6"/>
    <x v="1"/>
    <n v="115"/>
  </r>
  <r>
    <n v="2004"/>
    <s v="Revestimento Manto"/>
    <n v="450002303"/>
    <s v="FORN-004"/>
    <s v="Parker Hannifin Ind. e Com."/>
    <d v="2026-06-26T00:00:00"/>
    <n v="2"/>
    <x v="3"/>
    <n v="59"/>
  </r>
  <r>
    <n v="2010"/>
    <s v="Bucha Excentrica"/>
    <n v="450002309"/>
    <s v="FORN-004"/>
    <s v="Parker Hannifin Ind. e Com."/>
    <d v="2026-04-30T00:00:00"/>
    <n v="8"/>
    <x v="0"/>
    <s v="-"/>
  </r>
  <r>
    <n v="2359"/>
    <s v="Rolamento Esferico 22318"/>
    <n v="450002315"/>
    <s v="FORN-004"/>
    <s v="Parker Hannifin Ind. e Com."/>
    <d v="2026-05-26T00:00:00"/>
    <n v="1"/>
    <x v="0"/>
    <s v="-"/>
  </r>
  <r>
    <n v="3004"/>
    <s v="Polia Movida"/>
    <n v="450002321"/>
    <s v="FORN-004"/>
    <s v="Parker Hannifin Ind. e Com."/>
    <d v="2026-06-28T00:00:00"/>
    <n v="3"/>
    <x v="0"/>
    <s v="-"/>
  </r>
  <r>
    <n v="5004"/>
    <s v="Sensor de Vibracao"/>
    <n v="450002327"/>
    <s v="FORN-004"/>
    <s v="Parker Hannifin Ind. e Com."/>
    <d v="2026-08-06T00:00:00"/>
    <n v="5"/>
    <x v="1"/>
    <n v="18"/>
  </r>
  <r>
    <n v="2002"/>
    <s v="Mandibula Movel do Britador"/>
    <n v="450002301"/>
    <s v="FORN-002"/>
    <s v="SKF do Brasil Ltda"/>
    <d v="2025-07-04T00:00:00"/>
    <n v="4"/>
    <x v="0"/>
    <s v="-"/>
  </r>
  <r>
    <n v="2008"/>
    <s v="Eixo Excentrico"/>
    <n v="450002307"/>
    <s v="FORN-002"/>
    <s v="SKF do Brasil Ltda"/>
    <d v="2026-08-07T00:00:00"/>
    <n v="8"/>
    <x v="1"/>
    <n v="17"/>
  </r>
  <r>
    <n v="2357"/>
    <s v="Rolamento 6308"/>
    <n v="450002313"/>
    <s v="FORN-002"/>
    <s v="SKF do Brasil Ltda"/>
    <d v="2026-05-13T00:00:00"/>
    <n v="7"/>
    <x v="0"/>
    <s v="-"/>
  </r>
  <r>
    <n v="3002"/>
    <s v="Correia em V A-75"/>
    <n v="450002319"/>
    <s v="FORN-002"/>
    <s v="SKF do Brasil Ltda"/>
    <d v="2026-06-21T00:00:00"/>
    <n v="2"/>
    <x v="0"/>
    <s v="-"/>
  </r>
  <r>
    <n v="5002"/>
    <s v="Motor Eletrico 75cv"/>
    <n v="450002325"/>
    <s v="FORN-002"/>
    <s v="SKF do Brasil Ltda"/>
    <d v="2026-05-26T00:00:00"/>
    <n v="2"/>
    <x v="2"/>
    <n v="90"/>
  </r>
  <r>
    <n v="2003"/>
    <s v="Revestimento Concavo"/>
    <n v="450002302"/>
    <s v="FORN-003"/>
    <s v="WEG Equipamentos Eletricos"/>
    <d v="2025-08-10T00:00:00"/>
    <n v="3"/>
    <x v="1"/>
    <n v="379"/>
  </r>
  <r>
    <n v="5003"/>
    <s v="Painel de Comando"/>
    <n v="450002326"/>
    <s v="FORN-003"/>
    <s v="WEG Equipamentos Eletricos"/>
    <d v="2026-05-18T00:00:00"/>
    <n v="5"/>
    <x v="2"/>
    <n v="98"/>
  </r>
  <r>
    <n v="2358"/>
    <s v="Rolamento de Rolos Conicos 32218"/>
    <n v="450002314"/>
    <s v="FORN-003"/>
    <s v="WEG Equipamentos Eletricos"/>
    <d v="2026-05-02T00:00:00"/>
    <n v="1"/>
    <x v="0"/>
    <s v="-"/>
  </r>
  <r>
    <n v="3003"/>
    <s v="Polia Motora"/>
    <n v="450002320"/>
    <s v="FORN-003"/>
    <s v="WEG Equipamentos Eletricos"/>
    <d v="2026-05-31T00:00:00"/>
    <n v="1"/>
    <x v="0"/>
    <s v="-"/>
  </r>
  <r>
    <n v="5005"/>
    <s v="Sensor de Temperatura"/>
    <n v="450002328"/>
    <s v="FORN-005"/>
    <s v="Continental Correias Ind."/>
    <d v="2026-05-09T00:00:00"/>
    <n v="4"/>
    <x v="2"/>
    <n v="1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BFCEE-F05E-4F9D-9F8B-51AC42814FC3}" name="Tabela_pedidos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3:G27" firstHeaderRow="1" firstDataRow="1" firstDataCol="1"/>
  <pivotFields count="15">
    <pivotField showAll="0"/>
    <pivotField showAll="0"/>
    <pivotField dataField="1" showAll="0"/>
    <pivotField numFmtId="14" showAll="0"/>
    <pivotField showAll="0"/>
    <pivotField showAll="0"/>
    <pivotField showAll="0"/>
    <pivotField numFmtId="168" showAll="0"/>
    <pivotField numFmtId="168" showAll="0"/>
    <pivotField numFmtId="14" showAll="0"/>
    <pivotField showAll="0"/>
    <pivotField axis="axisRow" showAll="0">
      <items count="5">
        <item x="0"/>
        <item x="2"/>
        <item x="1"/>
        <item m="1" x="3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edido" fld="2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CB1CC-9BEC-4F1E-8050-1815E46364FC}" name="Tabela_requisicao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5:G20" firstHeaderRow="1" firstDataRow="1" firstDataCol="1"/>
  <pivotFields count="9">
    <pivotField showAll="0"/>
    <pivotField showAll="0"/>
    <pivotField dataField="1" showAll="0"/>
    <pivotField showAll="0"/>
    <pivotField showAll="0"/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Requisição" fld="2" subtotal="count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42A345-441C-4CA1-A401-9440F3851172}" name="Tabela4" displayName="Tabela4" ref="A1:M721" totalsRowShown="0">
  <autoFilter ref="A1:M721" xr:uid="{9F42A345-441C-4CA1-A401-9440F3851172}">
    <filterColumn colId="3">
      <filters>
        <filter val="2359"/>
      </filters>
    </filterColumn>
  </autoFilter>
  <sortState xmlns:xlrd2="http://schemas.microsoft.com/office/spreadsheetml/2017/richdata2" ref="A2:M721">
    <sortCondition ref="A1:A721"/>
  </sortState>
  <tableColumns count="13">
    <tableColumn id="1" xr3:uid="{764FC1D7-5481-4C12-B624-C952B2A61790}" name="Data" dataDxfId="36"/>
    <tableColumn id="2" xr3:uid="{65C3F726-E27A-4356-A7BC-BC9CC698AF6D}" name="Documento Material"/>
    <tableColumn id="3" xr3:uid="{BCB96D60-26AF-46C6-A522-3FB360A5318C}" name="Tipo Movimento"/>
    <tableColumn id="4" xr3:uid="{DC853E43-5403-4706-A4D7-B47C4CF50FE5}" name="Cod Material"/>
    <tableColumn id="5" xr3:uid="{4437FC3D-4DFB-42E8-AE6F-FFA123DA884C}" name="Material"/>
    <tableColumn id="6" xr3:uid="{735448D7-99C5-4165-91F2-CFE07671BCB7}" name="Centro"/>
    <tableColumn id="7" xr3:uid="{E37282DC-D544-41CD-B089-962517C29F45}" name="Deposito"/>
    <tableColumn id="8" xr3:uid="{9EE13A8A-8F27-4BEF-9589-B3E3F5EA15A3}" name="Quantidade"/>
    <tableColumn id="13" xr3:uid="{BE4E18F0-17FE-4B15-9D1D-E0BB3EB2413E}" name="Saldo Atual" dataDxfId="0">
      <calculatedColumnFormula>SUMIF($D$2:D2, D2, $H$2:H2)</calculatedColumnFormula>
    </tableColumn>
    <tableColumn id="9" xr3:uid="{8DF0495C-1961-4AD8-B284-99B3AF8D9790}" name="UM"/>
    <tableColumn id="10" xr3:uid="{8F5F4E78-9076-4A82-9697-0D2F82D0E471}" name="Valor Unitario"/>
    <tableColumn id="11" xr3:uid="{746F5F34-79F2-499B-901F-0B955D544970}" name="Valor Total" dataDxfId="35">
      <calculatedColumnFormula>ABS(Tabela4[[#This Row],[Quantidade]]*Tabela4[[#This Row],[Valor Unitario]])</calculatedColumnFormula>
    </tableColumn>
    <tableColumn id="12" xr3:uid="{3E1C63D9-9DFD-4981-9872-36C1649E55D9}" name="Referencia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ABF31-5DFD-4F42-9880-EDE8665CE5B5}" name="Tabela1" displayName="Tabela1" ref="A1:I31" totalsRowShown="0" headerRowDxfId="34" headerRowBorderDxfId="33" tableBorderDxfId="32">
  <autoFilter ref="A1:I31" xr:uid="{F4EABF31-5DFD-4F42-9880-EDE8665CE5B5}"/>
  <sortState xmlns:xlrd2="http://schemas.microsoft.com/office/spreadsheetml/2017/richdata2" ref="A6:I31">
    <sortCondition ref="A1:A31"/>
  </sortState>
  <tableColumns count="9">
    <tableColumn id="1" xr3:uid="{4D11AC13-5601-416B-B4D3-D6DAB733DB9D}" name="Cod Material"/>
    <tableColumn id="2" xr3:uid="{DDA718F3-548D-4974-9866-A893E29603C3}" name="Material">
      <calculatedColumnFormula>IFERROR(INDEX(Materiais!$B:$B,MATCH(A2,Materiais!$A:$A,0)),"")</calculatedColumnFormula>
    </tableColumn>
    <tableColumn id="3" xr3:uid="{356206AE-099A-4BCA-A211-FF9F7146BB80}" name="Requisição"/>
    <tableColumn id="10" xr3:uid="{57E7E08C-1E89-49FA-9EE6-D3AA46A7D241}" name="Cod Fornecedor"/>
    <tableColumn id="8" xr3:uid="{6143EB2D-1DBF-44AB-8E19-E4E77603D8E7}" name="Fornecedor"/>
    <tableColumn id="4" xr3:uid="{7F3BEAC0-3FFC-48E7-85C8-90802646C386}" name="Data" dataDxfId="31"/>
    <tableColumn id="5" xr3:uid="{575AC0C1-EC20-43AD-98C5-5116C50A340D}" name="Quantidade"/>
    <tableColumn id="6" xr3:uid="{DCF341E5-FF45-4118-BD0E-44D73DFF8719}" name="Status"/>
    <tableColumn id="7" xr3:uid="{4130B9BC-18A4-46B3-9222-ABD801BD10F9}" name="Dias em Aberto">
      <calculatedColumnFormula>IF(H2="Convertida","-",TODAY()-F2)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2D5B2-DFB1-4FB9-8CAA-D31E33F8564D}" name="Tabela3" displayName="Tabela3" ref="A1:O137" totalsRowShown="0" headerRowDxfId="30" headerRowBorderDxfId="29" tableBorderDxfId="28">
  <autoFilter ref="A1:O137" xr:uid="{2BA2D5B2-DFB1-4FB9-8CAA-D31E33F8564D}"/>
  <sortState xmlns:xlrd2="http://schemas.microsoft.com/office/spreadsheetml/2017/richdata2" ref="A2:O135">
    <sortCondition ref="L1:L137"/>
  </sortState>
  <tableColumns count="15">
    <tableColumn id="1" xr3:uid="{DDA860AE-2AF9-443B-AAE7-EBCE9658E3A8}" name="Cod Material" dataDxfId="27"/>
    <tableColumn id="2" xr3:uid="{520B12F4-AB0F-4589-99EE-957CB840F599}" name="Material" dataDxfId="26"/>
    <tableColumn id="3" xr3:uid="{E284A7EA-5B11-428C-9128-21A7F72F904C}" name="Pedido" dataDxfId="25"/>
    <tableColumn id="4" xr3:uid="{FE1593BB-94E4-4A32-9D5D-35092C713091}" name="Data Emissao" dataDxfId="24"/>
    <tableColumn id="5" xr3:uid="{B64C93FD-5EFD-4581-A04D-AA180286BF1D}" name="Cod Fornecedor" dataDxfId="23"/>
    <tableColumn id="6" xr3:uid="{D8BA6142-27B6-4433-A54A-DA693F66ABEB}" name="Fornecedor" dataDxfId="22"/>
    <tableColumn id="7" xr3:uid="{5443CDF5-4DAF-4EF2-8017-C3E2B0AABF95}" name="Quantidade" dataDxfId="21"/>
    <tableColumn id="8" xr3:uid="{2B49734A-2DEA-4D7C-97AD-EECFE06BECD1}" name="Valor Unitario" dataDxfId="20"/>
    <tableColumn id="9" xr3:uid="{E8A93AE4-06A8-4634-B72B-F38C5385413E}" name="Valor Total" dataDxfId="19">
      <calculatedColumnFormula>Tabela3[[#This Row],[Quantidade]]*Tabela3[[#This Row],[Valor Unitario]]</calculatedColumnFormula>
    </tableColumn>
    <tableColumn id="10" xr3:uid="{FB4DCD65-1588-412F-8DD7-7916962AE5A1}" name="Data Prevista" dataDxfId="18"/>
    <tableColumn id="11" xr3:uid="{DA722937-B939-4D1C-B20A-9E24C71B8B14}" name="Data Recebimento" dataDxfId="17"/>
    <tableColumn id="12" xr3:uid="{9F97E10C-DDDC-43E4-A0AD-976FE4707928}" name="Status" dataDxfId="16"/>
    <tableColumn id="13" xr3:uid="{240BC0BC-31EE-4A31-9715-8164BBE00A58}" name="Situacao Entrega" dataDxfId="15">
      <calculatedColumnFormula>IF(K2="","",IF(K2&lt;=J2,"No Prazo","Atrasado"))</calculatedColumnFormula>
    </tableColumn>
    <tableColumn id="14" xr3:uid="{53EEEEFB-1A06-4F57-AD8B-092C1158C088}" name="Dias de Atraso" dataDxfId="14">
      <calculatedColumnFormula>IF(Tabela3[[#This Row],[Data Recebimento]]="","",Tabela3[[#This Row],[Data Recebimento]]-Tabela3[[#This Row],[Data Prevista]])</calculatedColumnFormula>
    </tableColumn>
    <tableColumn id="16" xr3:uid="{458B9052-B795-4E45-813B-03FFA691D160}" name="Lead Time" dataDxfId="13">
      <calculatedColumnFormula>IF(Tabela3[[#This Row],[Data Recebimento]]="","",Tabela3[[#This Row],[Data Recebimento]]-Tabela3[[#This Row],[Data Emissao]])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opLeftCell="A10" zoomScaleNormal="100" workbookViewId="0">
      <selection activeCell="B4" sqref="B4"/>
    </sheetView>
  </sheetViews>
  <sheetFormatPr defaultColWidth="8.7109375" defaultRowHeight="15" x14ac:dyDescent="0.25"/>
  <cols>
    <col min="1" max="1" width="20" customWidth="1"/>
    <col min="2" max="2" width="95" customWidth="1"/>
  </cols>
  <sheetData>
    <row r="1" spans="1:6" ht="30" customHeight="1" x14ac:dyDescent="0.25">
      <c r="A1" s="104" t="s">
        <v>0</v>
      </c>
      <c r="B1" s="104"/>
      <c r="C1" s="104"/>
      <c r="D1" s="104"/>
      <c r="E1" s="104"/>
      <c r="F1" s="104"/>
    </row>
    <row r="2" spans="1:6" ht="6" customHeight="1" x14ac:dyDescent="0.25">
      <c r="A2" s="1"/>
      <c r="B2" s="2"/>
    </row>
    <row r="3" spans="1:6" ht="30" customHeight="1" x14ac:dyDescent="0.25">
      <c r="A3" s="3" t="s">
        <v>1</v>
      </c>
      <c r="B3" s="4" t="s">
        <v>2</v>
      </c>
    </row>
    <row r="4" spans="1:6" ht="30" customHeight="1" x14ac:dyDescent="0.25">
      <c r="A4" s="1" t="s">
        <v>3</v>
      </c>
      <c r="B4" s="2" t="s">
        <v>4</v>
      </c>
    </row>
    <row r="5" spans="1:6" ht="30" customHeight="1" x14ac:dyDescent="0.25">
      <c r="A5" s="1" t="s">
        <v>5</v>
      </c>
      <c r="B5" s="2" t="s">
        <v>6</v>
      </c>
    </row>
    <row r="6" spans="1:6" ht="30" customHeight="1" x14ac:dyDescent="0.25">
      <c r="A6" s="1" t="s">
        <v>7</v>
      </c>
      <c r="B6" s="2" t="s">
        <v>8</v>
      </c>
    </row>
    <row r="7" spans="1:6" ht="30" customHeight="1" x14ac:dyDescent="0.25">
      <c r="A7" s="1" t="s">
        <v>9</v>
      </c>
      <c r="B7" s="2" t="s">
        <v>10</v>
      </c>
    </row>
    <row r="8" spans="1:6" ht="30" customHeight="1" x14ac:dyDescent="0.25">
      <c r="A8" s="1" t="s">
        <v>11</v>
      </c>
      <c r="B8" s="2" t="s">
        <v>12</v>
      </c>
    </row>
    <row r="9" spans="1:6" ht="30" customHeight="1" x14ac:dyDescent="0.25">
      <c r="A9" s="1" t="s">
        <v>13</v>
      </c>
      <c r="B9" s="2" t="s">
        <v>14</v>
      </c>
    </row>
    <row r="10" spans="1:6" ht="30" customHeight="1" x14ac:dyDescent="0.25">
      <c r="A10" s="1" t="s">
        <v>15</v>
      </c>
      <c r="B10" s="2" t="s">
        <v>16</v>
      </c>
    </row>
    <row r="11" spans="1:6" ht="6" customHeight="1" x14ac:dyDescent="0.25">
      <c r="A11" s="1"/>
      <c r="B11" s="2"/>
    </row>
    <row r="12" spans="1:6" x14ac:dyDescent="0.25">
      <c r="A12" s="3" t="s">
        <v>17</v>
      </c>
      <c r="B12" s="4"/>
    </row>
    <row r="13" spans="1:6" ht="30" customHeight="1" x14ac:dyDescent="0.25">
      <c r="A13" s="1" t="s">
        <v>18</v>
      </c>
      <c r="B13" s="2" t="s">
        <v>19</v>
      </c>
    </row>
    <row r="14" spans="1:6" ht="30" customHeight="1" x14ac:dyDescent="0.25">
      <c r="A14" s="1" t="s">
        <v>20</v>
      </c>
      <c r="B14" s="2" t="s">
        <v>21</v>
      </c>
    </row>
    <row r="15" spans="1:6" ht="30" customHeight="1" x14ac:dyDescent="0.25">
      <c r="A15" s="1" t="s">
        <v>22</v>
      </c>
      <c r="B15" s="2" t="s">
        <v>23</v>
      </c>
    </row>
    <row r="16" spans="1:6" ht="30" customHeight="1" x14ac:dyDescent="0.25">
      <c r="A16" s="1" t="s">
        <v>24</v>
      </c>
      <c r="B16" s="2" t="s">
        <v>25</v>
      </c>
    </row>
    <row r="17" spans="1:2" ht="6" customHeight="1" x14ac:dyDescent="0.25">
      <c r="A17" s="1"/>
      <c r="B17" s="2"/>
    </row>
    <row r="18" spans="1:2" ht="30" customHeight="1" x14ac:dyDescent="0.25">
      <c r="A18" s="1" t="s">
        <v>26</v>
      </c>
      <c r="B18" s="2" t="s">
        <v>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6"/>
  <sheetViews>
    <sheetView showGridLines="0" zoomScale="80" zoomScaleNormal="80" workbookViewId="0">
      <selection activeCell="N7" sqref="N7:P8"/>
    </sheetView>
  </sheetViews>
  <sheetFormatPr defaultColWidth="8.7109375" defaultRowHeight="15" x14ac:dyDescent="0.25"/>
  <cols>
    <col min="1" max="1" width="2.42578125" customWidth="1"/>
    <col min="2" max="2" width="10.5703125" customWidth="1"/>
    <col min="3" max="3" width="16.5703125" customWidth="1"/>
    <col min="4" max="4" width="16.140625" customWidth="1"/>
    <col min="5" max="5" width="42.28515625" customWidth="1"/>
    <col min="6" max="6" width="3.7109375" style="47" customWidth="1"/>
    <col min="7" max="7" width="10.5703125" customWidth="1"/>
    <col min="8" max="8" width="15.28515625" customWidth="1"/>
    <col min="9" max="9" width="10.5703125" customWidth="1"/>
    <col min="10" max="10" width="35.140625" customWidth="1"/>
    <col min="11" max="11" width="3.7109375" customWidth="1"/>
    <col min="12" max="12" width="12.85546875" customWidth="1"/>
    <col min="13" max="13" width="10.5703125" customWidth="1"/>
    <col min="14" max="14" width="18.7109375" customWidth="1"/>
    <col min="15" max="15" width="10.5703125" customWidth="1"/>
    <col min="16" max="16" width="11.140625" customWidth="1"/>
  </cols>
  <sheetData>
    <row r="1" spans="2:16" ht="33.75" customHeight="1" x14ac:dyDescent="0.25">
      <c r="B1" s="99" t="s">
        <v>1693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2:16" x14ac:dyDescent="0.25">
      <c r="F2"/>
      <c r="L2" t="s">
        <v>1695</v>
      </c>
      <c r="N2" t="s">
        <v>1696</v>
      </c>
    </row>
    <row r="3" spans="2:16" ht="15" customHeight="1" x14ac:dyDescent="0.25">
      <c r="B3" s="100" t="s">
        <v>28</v>
      </c>
      <c r="C3" s="101"/>
      <c r="D3" s="81" t="s">
        <v>32</v>
      </c>
      <c r="E3" s="82"/>
      <c r="F3" s="46"/>
      <c r="G3" s="83" t="s">
        <v>33</v>
      </c>
      <c r="H3" s="84"/>
      <c r="I3" s="102" t="s">
        <v>35</v>
      </c>
      <c r="J3" s="103"/>
      <c r="K3" s="46"/>
      <c r="L3" s="58" t="s">
        <v>30</v>
      </c>
      <c r="M3" s="59"/>
      <c r="N3" s="49" t="s">
        <v>31</v>
      </c>
      <c r="O3" s="50"/>
      <c r="P3" s="51"/>
    </row>
    <row r="4" spans="2:16" ht="26.25" customHeight="1" x14ac:dyDescent="0.25">
      <c r="B4" s="87">
        <f>SUM(Materiais!$O:$O)</f>
        <v>20254416.899999999</v>
      </c>
      <c r="C4" s="88"/>
      <c r="D4" s="91">
        <f ca="1">SUMIF(Materiais!$S:$S,"&gt;=90",Materiais!$O:$O)</f>
        <v>11953600</v>
      </c>
      <c r="E4" s="92"/>
      <c r="F4" s="44"/>
      <c r="G4" s="95">
        <f ca="1">COUNTIF(Pedidos!$L:$L,"Atrasado")</f>
        <v>36</v>
      </c>
      <c r="H4" s="96"/>
      <c r="I4" s="75">
        <f ca="1">COUNTIF(Pedidos!L2:L137,"&lt;&gt;Recebido")</f>
        <v>46</v>
      </c>
      <c r="J4" s="76"/>
      <c r="K4" s="48" t="s">
        <v>1698</v>
      </c>
      <c r="L4" s="113">
        <f>COUNTIF(Materiais!J2:J46,"Critico")</f>
        <v>17</v>
      </c>
      <c r="M4" s="114"/>
      <c r="N4" s="107">
        <f ca="1">COUNTIF(Materiais!$U:$U,"Alto")</f>
        <v>3</v>
      </c>
      <c r="O4" s="108"/>
      <c r="P4" s="109"/>
    </row>
    <row r="5" spans="2:16" ht="26.25" customHeight="1" x14ac:dyDescent="0.25">
      <c r="B5" s="89"/>
      <c r="C5" s="90"/>
      <c r="D5" s="93"/>
      <c r="E5" s="94"/>
      <c r="F5" s="44"/>
      <c r="G5" s="97"/>
      <c r="H5" s="98"/>
      <c r="I5" s="77"/>
      <c r="J5" s="78"/>
      <c r="K5" s="44"/>
      <c r="L5" s="115"/>
      <c r="M5" s="116"/>
      <c r="N5" s="110"/>
      <c r="O5" s="111"/>
      <c r="P5" s="112"/>
    </row>
    <row r="6" spans="2:16" ht="15" customHeight="1" x14ac:dyDescent="0.25">
      <c r="B6" s="79" t="s">
        <v>29</v>
      </c>
      <c r="C6" s="80"/>
      <c r="D6" s="81" t="s">
        <v>37</v>
      </c>
      <c r="E6" s="82"/>
      <c r="F6" s="46"/>
      <c r="G6" s="83" t="s">
        <v>1694</v>
      </c>
      <c r="H6" s="84"/>
      <c r="I6" s="85" t="s">
        <v>34</v>
      </c>
      <c r="J6" s="86"/>
      <c r="K6" s="46"/>
      <c r="L6" s="60" t="s">
        <v>36</v>
      </c>
      <c r="M6" s="61"/>
      <c r="N6" s="49" t="s">
        <v>1697</v>
      </c>
      <c r="O6" s="50"/>
      <c r="P6" s="51"/>
    </row>
    <row r="7" spans="2:16" ht="23.25" customHeight="1" x14ac:dyDescent="0.25">
      <c r="B7" s="63">
        <f>COUNTA(Materiais!$A:$A)-1</f>
        <v>45</v>
      </c>
      <c r="C7" s="64"/>
      <c r="D7" s="67">
        <f ca="1">ROUND(AVERAGE(Fornecedores!$H:$H),3)</f>
        <v>0.85599999999999998</v>
      </c>
      <c r="E7" s="68"/>
      <c r="F7" s="45"/>
      <c r="G7" s="71">
        <f ca="1">SUMIF(Pedidos!$L:$L,"&lt;&gt;Recebido",Pedidos!$I:$I)</f>
        <v>13250819.899999999</v>
      </c>
      <c r="H7" s="72"/>
      <c r="I7" s="75">
        <f>Indicadores!B17</f>
        <v>8</v>
      </c>
      <c r="J7" s="76"/>
      <c r="K7" s="45"/>
      <c r="L7" s="53" t="str">
        <f>ROUND(AVERAGE(Fornecedores!$D:$D),0)&amp;" dias"</f>
        <v>7 dias</v>
      </c>
      <c r="M7" s="54"/>
      <c r="N7" s="52" t="str">
        <f ca="1">ROUND(AVERAGE(Materiais!S2:S46),1)&amp;"x/ano"</f>
        <v>22x/ano</v>
      </c>
      <c r="O7" s="53"/>
      <c r="P7" s="54"/>
    </row>
    <row r="8" spans="2:16" ht="23.25" customHeight="1" x14ac:dyDescent="0.25">
      <c r="B8" s="65"/>
      <c r="C8" s="66"/>
      <c r="D8" s="69"/>
      <c r="E8" s="70"/>
      <c r="F8" s="45"/>
      <c r="G8" s="73"/>
      <c r="H8" s="74"/>
      <c r="I8" s="77"/>
      <c r="J8" s="78"/>
      <c r="K8" s="45"/>
      <c r="L8" s="56"/>
      <c r="M8" s="57"/>
      <c r="N8" s="55"/>
      <c r="O8" s="56"/>
      <c r="P8" s="57"/>
    </row>
    <row r="9" spans="2:16" ht="7.5" customHeight="1" x14ac:dyDescent="0.25"/>
    <row r="46" spans="2:16" ht="15" customHeight="1" x14ac:dyDescent="0.25">
      <c r="B46" s="62" t="s">
        <v>38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</sheetData>
  <mergeCells count="26">
    <mergeCell ref="B1:P1"/>
    <mergeCell ref="B3:C3"/>
    <mergeCell ref="D3:E3"/>
    <mergeCell ref="G3:H3"/>
    <mergeCell ref="I3:J3"/>
    <mergeCell ref="N3:P3"/>
    <mergeCell ref="B6:C6"/>
    <mergeCell ref="D6:E6"/>
    <mergeCell ref="G6:H6"/>
    <mergeCell ref="I6:J6"/>
    <mergeCell ref="B4:C5"/>
    <mergeCell ref="D4:E5"/>
    <mergeCell ref="G4:H5"/>
    <mergeCell ref="I4:J5"/>
    <mergeCell ref="B46:P46"/>
    <mergeCell ref="B7:C8"/>
    <mergeCell ref="D7:E8"/>
    <mergeCell ref="G7:H8"/>
    <mergeCell ref="I7:J8"/>
    <mergeCell ref="N4:P5"/>
    <mergeCell ref="N6:P6"/>
    <mergeCell ref="N7:P8"/>
    <mergeCell ref="L3:M3"/>
    <mergeCell ref="L4:M5"/>
    <mergeCell ref="L6:M6"/>
    <mergeCell ref="L7:M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47"/>
  <sheetViews>
    <sheetView tabSelected="1" topLeftCell="G1" zoomScaleNormal="100" workbookViewId="0">
      <pane ySplit="1" topLeftCell="A2" activePane="bottomLeft" state="frozen"/>
      <selection pane="bottomLeft" activeCell="R48" sqref="R48"/>
    </sheetView>
  </sheetViews>
  <sheetFormatPr defaultColWidth="8.7109375" defaultRowHeight="15" x14ac:dyDescent="0.25"/>
  <cols>
    <col min="1" max="1" width="14" customWidth="1"/>
    <col min="2" max="2" width="30" customWidth="1"/>
    <col min="3" max="3" width="18" customWidth="1"/>
    <col min="4" max="4" width="9" customWidth="1"/>
    <col min="5" max="5" width="16" customWidth="1"/>
    <col min="6" max="6" width="11" customWidth="1"/>
    <col min="7" max="8" width="13" customWidth="1"/>
    <col min="9" max="10" width="12" customWidth="1"/>
    <col min="11" max="11" width="12" style="33" customWidth="1"/>
    <col min="12" max="12" width="16" customWidth="1"/>
    <col min="13" max="14" width="15" customWidth="1"/>
    <col min="15" max="15" width="17" customWidth="1"/>
    <col min="16" max="16" width="13" customWidth="1"/>
    <col min="17" max="17" width="16" style="8" customWidth="1"/>
    <col min="18" max="18" width="16" style="118" customWidth="1"/>
    <col min="19" max="19" width="16" customWidth="1"/>
    <col min="20" max="20" width="18" customWidth="1"/>
    <col min="21" max="22" width="15" customWidth="1"/>
    <col min="23" max="23" width="11" customWidth="1"/>
  </cols>
  <sheetData>
    <row r="1" spans="1:24" ht="27.75" customHeight="1" x14ac:dyDescent="0.25">
      <c r="A1" s="18" t="s">
        <v>1683</v>
      </c>
      <c r="B1" s="18" t="s">
        <v>222</v>
      </c>
      <c r="C1" s="5" t="s">
        <v>40</v>
      </c>
      <c r="D1" s="5" t="s">
        <v>41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31" t="s">
        <v>49</v>
      </c>
      <c r="L1" s="18" t="s">
        <v>1673</v>
      </c>
      <c r="M1" s="5" t="s">
        <v>50</v>
      </c>
      <c r="N1" s="18" t="s">
        <v>1684</v>
      </c>
      <c r="O1" s="5" t="s">
        <v>51</v>
      </c>
      <c r="P1" s="5" t="s">
        <v>52</v>
      </c>
      <c r="Q1" s="40" t="s">
        <v>53</v>
      </c>
      <c r="R1" s="117" t="s">
        <v>1699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39" t="s">
        <v>1685</v>
      </c>
    </row>
    <row r="2" spans="1:24" ht="15" customHeight="1" x14ac:dyDescent="0.25">
      <c r="A2">
        <v>2359</v>
      </c>
      <c r="B2" t="s">
        <v>95</v>
      </c>
      <c r="C2" t="s">
        <v>89</v>
      </c>
      <c r="D2" t="s">
        <v>61</v>
      </c>
      <c r="E2" s="6">
        <v>1240</v>
      </c>
      <c r="F2" s="7">
        <f>SUMIFS(Movimentacoes!$H:$H, Movimentacoes!$D:$D, A2)</f>
        <v>51</v>
      </c>
      <c r="G2" s="7">
        <f ca="1">IFERROR(L4*(K4*1.1),"")</f>
        <v>7.9200000000000008</v>
      </c>
      <c r="H2" s="7">
        <f ca="1">IFERROR((G4+L4)*K4,"")</f>
        <v>111.92000000000002</v>
      </c>
      <c r="I2" t="s">
        <v>96</v>
      </c>
      <c r="J2" t="s">
        <v>63</v>
      </c>
      <c r="K2" s="32">
        <f ca="1">AVERAGEIFS(Pedidos!$O:$O,Pedidos!$A:$A,A2,Pedidos!$L:$L,"Recebido")</f>
        <v>7</v>
      </c>
      <c r="L2" s="119">
        <f>ABS(SUMIFS(Movimentacoes!$H:$H,Movimentacoes!$D:$D,A2,Movimentacoes!$C:$C,261))/MAX(1,_xlfn.MAXIFS(Movimentacoes!$A:$A,Movimentacoes!$D:$D,A2)-_xlfn.MINIFS(Movimentacoes!$A:$A,Movimentacoes!$D:$D,A2)+1)</f>
        <v>1.4824561403508771</v>
      </c>
      <c r="M2">
        <f ca="1">IFERROR(G4+(L4*K4),"")</f>
        <v>20.290000000000003</v>
      </c>
      <c r="N2">
        <f ca="1">IFERROR(H4-G4,"")</f>
        <v>31.15</v>
      </c>
      <c r="O2" s="6">
        <f t="shared" ref="O2:O46" si="0">F2*E2</f>
        <v>63240</v>
      </c>
      <c r="P2" s="7">
        <f>IFERROR(ROUND(F2/L2,1),0)</f>
        <v>34.4</v>
      </c>
      <c r="Q2" s="8">
        <f>IFERROR(_xlfn.MAXIFS(Movimentacoes!$A:$A,Movimentacoes!$D:$D,A2),"")</f>
        <v>46254</v>
      </c>
      <c r="R2" s="118">
        <f>ABS(SUMIFS(Movimentacoes!$H:$H, Movimentacoes!$D:$D, Materiais!A2, Movimentacoes!$C:$C, "261"))
/((
   (INDEX(Movimentacoes!$I:$I, MATCH(A2, Movimentacoes!$D:$D, 0))
    - INDEX(Movimentacoes!$H:$H, MATCH(A2, Movimentacoes!$D:$D, 0)))
   + LOOKUP(2, 1/(Movimentacoes!$D:$D=A2), Movimentacoes!$I:$I)
) / 2)</f>
        <v>13.254901960784315</v>
      </c>
      <c r="S2" s="7">
        <f ca="1">IF(Q2="","",TODAY()-Q2)</f>
        <v>5</v>
      </c>
      <c r="T2" t="str">
        <f t="shared" ref="T2:T46" ca="1" si="1">IF(F2&lt;=0,"Ruptura",IF(F2&lt;G2,"Abaixo do Minimo",IF(F2&lt;M2,"Ponto de Reposicao","Normal")))</f>
        <v>Normal</v>
      </c>
      <c r="U2" t="str">
        <f t="shared" ref="U2:U46" ca="1" si="2">IF(AND(J2="Critico",P2&lt;K2),"Alto",IF(P2&lt;K2,"Medio","Baixo"))</f>
        <v>Baixo</v>
      </c>
      <c r="V2" s="9">
        <f t="shared" ref="V2:V46" si="3">SUMPRODUCT(($O$2:$O$46&gt;=O2)*$O$2:$O$46)/SUM($O$2:$O$46)</f>
        <v>0.98957576013950821</v>
      </c>
      <c r="W2" t="str">
        <f t="shared" ref="W2:W46" si="4">IF(V2&lt;=0.7,"A",IF(V2&lt;=0.9,"B","C"))</f>
        <v>C</v>
      </c>
    </row>
    <row r="3" spans="1:24" ht="15" hidden="1" customHeight="1" x14ac:dyDescent="0.25">
      <c r="A3">
        <v>2008</v>
      </c>
      <c r="B3" t="s">
        <v>78</v>
      </c>
      <c r="C3" t="s">
        <v>60</v>
      </c>
      <c r="D3" t="s">
        <v>61</v>
      </c>
      <c r="E3" s="6">
        <v>24500</v>
      </c>
      <c r="F3" s="7">
        <f>SUMIFS(Movimentacoes!$H:$H, Movimentacoes!$D:$D, A3)</f>
        <v>11</v>
      </c>
      <c r="G3" s="7">
        <f t="shared" ref="G3:G46" ca="1" si="5">IFERROR(L5*(K5*1.1),"")</f>
        <v>8.8000000000000007</v>
      </c>
      <c r="H3" s="7">
        <f t="shared" ref="H3:H46" ca="1" si="6">IFERROR((G5+L5)*K5,"")</f>
        <v>81.92</v>
      </c>
      <c r="I3" t="s">
        <v>79</v>
      </c>
      <c r="J3" t="s">
        <v>63</v>
      </c>
      <c r="K3" s="32">
        <f ca="1">AVERAGEIFS(Pedidos!$O:$O,Pedidos!$A:$A,A3,Pedidos!$L:$L,"Recebido")</f>
        <v>8</v>
      </c>
      <c r="L3" s="7">
        <f>ROUND(ABS(SUMIFS(Movimentacoes!$H:$H,Movimentacoes!$D:$D,A3,Movimentacoes!$C:$C,"261"))/MAX(1,DATEDIF(_xlfn.MINIFS(Movimentacoes!$A:$A,Movimentacoes!$D:$D,A3,Movimentacoes!$C:$C,"261"),_xlfn.MAXIFS(Movimentacoes!$A:$A,Movimentacoes!$D:$D,A3,Movimentacoes!$C:$C,"261"),"d")),1)</f>
        <v>1.6</v>
      </c>
      <c r="M3">
        <f t="shared" ref="M3:M46" ca="1" si="7">IFERROR(G5+(L5*K5),"")</f>
        <v>17.240000000000002</v>
      </c>
      <c r="N3">
        <f t="shared" ref="N3:N46" ca="1" si="8">IFERROR(H5-G5,"")</f>
        <v>54.215000000000011</v>
      </c>
      <c r="O3" s="6">
        <f t="shared" si="0"/>
        <v>269500</v>
      </c>
      <c r="P3" s="7">
        <f t="shared" ref="P3:P46" si="9">IFERROR(ROUND(F3/L3,1),0)</f>
        <v>6.9</v>
      </c>
      <c r="Q3" s="8">
        <f>IFERROR(_xlfn.MAXIFS(Movimentacoes!$A:$A,Movimentacoes!$D:$D,A3),"")</f>
        <v>46249</v>
      </c>
      <c r="S3" s="7">
        <f t="shared" ref="S3:S46" ca="1" si="10">IF(Q3="","",TODAY()-Q3)</f>
        <v>10</v>
      </c>
      <c r="T3" t="str">
        <f t="shared" ca="1" si="1"/>
        <v>Ponto de Reposicao</v>
      </c>
      <c r="U3" t="str">
        <f t="shared" ca="1" si="2"/>
        <v>Alto</v>
      </c>
      <c r="V3" s="9">
        <f t="shared" si="3"/>
        <v>0.94148797737050638</v>
      </c>
      <c r="W3" t="str">
        <f t="shared" si="4"/>
        <v>C</v>
      </c>
    </row>
    <row r="4" spans="1:24" ht="15" hidden="1" customHeight="1" x14ac:dyDescent="0.25">
      <c r="A4">
        <v>5004</v>
      </c>
      <c r="B4" t="s">
        <v>123</v>
      </c>
      <c r="C4" t="s">
        <v>117</v>
      </c>
      <c r="D4" t="s">
        <v>61</v>
      </c>
      <c r="E4" s="6">
        <v>1350</v>
      </c>
      <c r="F4" s="7">
        <f>SUMIFS(Movimentacoes!$H:$H, Movimentacoes!$D:$D, A4)</f>
        <v>66</v>
      </c>
      <c r="G4" s="7">
        <f t="shared" ca="1" si="5"/>
        <v>13.090000000000002</v>
      </c>
      <c r="H4" s="7">
        <f t="shared" ca="1" si="6"/>
        <v>44.24</v>
      </c>
      <c r="I4" t="s">
        <v>124</v>
      </c>
      <c r="J4" t="s">
        <v>63</v>
      </c>
      <c r="K4" s="32">
        <f ca="1">AVERAGEIFS(Pedidos!$O:$O,Pedidos!$A:$A,A4,Pedidos!$L:$L,"Recebido")</f>
        <v>8</v>
      </c>
      <c r="L4" s="7">
        <f>ROUND(ABS(SUMIFS(Movimentacoes!$H:$H,Movimentacoes!$D:$D,A4,Movimentacoes!$C:$C,"261"))/MAX(1,DATEDIF(_xlfn.MINIFS(Movimentacoes!$A:$A,Movimentacoes!$D:$D,A4,Movimentacoes!$C:$C,"261"),_xlfn.MAXIFS(Movimentacoes!$A:$A,Movimentacoes!$D:$D,A4,Movimentacoes!$C:$C,"261"),"d")),1)</f>
        <v>0.9</v>
      </c>
      <c r="M4">
        <f t="shared" ca="1" si="7"/>
        <v>16.52</v>
      </c>
      <c r="N4">
        <f t="shared" ca="1" si="8"/>
        <v>37.31</v>
      </c>
      <c r="O4" s="6">
        <f t="shared" si="0"/>
        <v>89100</v>
      </c>
      <c r="P4" s="7">
        <f t="shared" si="9"/>
        <v>73.3</v>
      </c>
      <c r="Q4" s="8">
        <f>IFERROR(_xlfn.MAXIFS(Movimentacoes!$A:$A,Movimentacoes!$D:$D,A4),"")</f>
        <v>46256</v>
      </c>
      <c r="S4" s="7">
        <f t="shared" ca="1" si="10"/>
        <v>3</v>
      </c>
      <c r="T4" t="str">
        <f t="shared" ca="1" si="1"/>
        <v>Normal</v>
      </c>
      <c r="U4" t="str">
        <f t="shared" ca="1" si="2"/>
        <v>Baixo</v>
      </c>
      <c r="V4" s="9">
        <f t="shared" si="3"/>
        <v>0.97534873985930459</v>
      </c>
      <c r="W4" t="str">
        <f t="shared" si="4"/>
        <v>C</v>
      </c>
    </row>
    <row r="5" spans="1:24" ht="15" hidden="1" customHeight="1" x14ac:dyDescent="0.25">
      <c r="A5">
        <v>2009</v>
      </c>
      <c r="B5" t="s">
        <v>80</v>
      </c>
      <c r="C5" t="s">
        <v>60</v>
      </c>
      <c r="D5" t="s">
        <v>61</v>
      </c>
      <c r="E5" s="6">
        <v>1650</v>
      </c>
      <c r="F5" s="7">
        <f>SUMIFS(Movimentacoes!$H:$H, Movimentacoes!$D:$D, A5)</f>
        <v>99</v>
      </c>
      <c r="G5" s="7">
        <f t="shared" ca="1" si="5"/>
        <v>9.24</v>
      </c>
      <c r="H5" s="7">
        <f t="shared" ca="1" si="6"/>
        <v>63.455000000000013</v>
      </c>
      <c r="I5" t="s">
        <v>81</v>
      </c>
      <c r="J5" t="s">
        <v>63</v>
      </c>
      <c r="K5" s="32">
        <f ca="1">AVERAGEIFS(Pedidos!$O:$O,Pedidos!$A:$A,A5,Pedidos!$L:$L,"Recebido")</f>
        <v>8</v>
      </c>
      <c r="L5" s="7">
        <f>ROUND(ABS(SUMIFS(Movimentacoes!$H:$H,Movimentacoes!$D:$D,A5,Movimentacoes!$C:$C,"261"))/MAX(1,DATEDIF(_xlfn.MINIFS(Movimentacoes!$A:$A,Movimentacoes!$D:$D,A5,Movimentacoes!$C:$C,"261"),_xlfn.MAXIFS(Movimentacoes!$A:$A,Movimentacoes!$D:$D,A5,Movimentacoes!$C:$C,"261"),"d")),1)</f>
        <v>1</v>
      </c>
      <c r="M5">
        <f t="shared" ca="1" si="7"/>
        <v>16.265000000000001</v>
      </c>
      <c r="N5">
        <f t="shared" ca="1" si="8"/>
        <v>75.515000000000029</v>
      </c>
      <c r="O5" s="6">
        <f t="shared" si="0"/>
        <v>163350</v>
      </c>
      <c r="P5" s="7">
        <f t="shared" si="9"/>
        <v>99</v>
      </c>
      <c r="Q5" s="8">
        <f>IFERROR(_xlfn.MAXIFS(Movimentacoes!$A:$A,Movimentacoes!$D:$D,A5),"")</f>
        <v>46257</v>
      </c>
      <c r="S5" s="7">
        <f t="shared" ca="1" si="10"/>
        <v>2</v>
      </c>
      <c r="T5" t="str">
        <f t="shared" ca="1" si="1"/>
        <v>Normal</v>
      </c>
      <c r="U5" t="str">
        <f t="shared" ca="1" si="2"/>
        <v>Baixo</v>
      </c>
      <c r="V5" s="9">
        <f t="shared" si="3"/>
        <v>0.94955288493148382</v>
      </c>
      <c r="W5" t="str">
        <f t="shared" si="4"/>
        <v>C</v>
      </c>
    </row>
    <row r="6" spans="1:24" ht="15" hidden="1" customHeight="1" x14ac:dyDescent="0.25">
      <c r="A6">
        <v>3002</v>
      </c>
      <c r="B6" t="s">
        <v>105</v>
      </c>
      <c r="C6" t="s">
        <v>102</v>
      </c>
      <c r="D6" t="s">
        <v>61</v>
      </c>
      <c r="E6" s="6">
        <v>95</v>
      </c>
      <c r="F6" s="7">
        <f>SUMIFS(Movimentacoes!$H:$H, Movimentacoes!$D:$D, A6)</f>
        <v>8</v>
      </c>
      <c r="G6" s="7">
        <f t="shared" ca="1" si="5"/>
        <v>4.62</v>
      </c>
      <c r="H6" s="7">
        <f t="shared" ca="1" si="6"/>
        <v>41.93</v>
      </c>
      <c r="I6" t="s">
        <v>106</v>
      </c>
      <c r="J6" t="s">
        <v>73</v>
      </c>
      <c r="K6" s="32">
        <f ca="1">AVERAGEIFS(Pedidos!$O:$O,Pedidos!$A:$A,A6,Pedidos!$L:$L,"Recebido")</f>
        <v>7</v>
      </c>
      <c r="L6" s="7">
        <f>ROUND(ABS(SUMIFS(Movimentacoes!$H:$H,Movimentacoes!$D:$D,A6,Movimentacoes!$C:$C,"261"))/MAX(1,DATEDIF(_xlfn.MINIFS(Movimentacoes!$A:$A,Movimentacoes!$D:$D,A6,Movimentacoes!$C:$C,"261"),_xlfn.MAXIFS(Movimentacoes!$A:$A,Movimentacoes!$D:$D,A6,Movimentacoes!$C:$C,"261"),"d")),1)</f>
        <v>1.7</v>
      </c>
      <c r="M6">
        <f t="shared" ca="1" si="7"/>
        <v>9.59</v>
      </c>
      <c r="N6">
        <f t="shared" ca="1" si="8"/>
        <v>45.710000000000008</v>
      </c>
      <c r="O6" s="6">
        <f t="shared" si="0"/>
        <v>760</v>
      </c>
      <c r="P6" s="7">
        <f t="shared" si="9"/>
        <v>4.7</v>
      </c>
      <c r="Q6" s="8">
        <f>IFERROR(_xlfn.MAXIFS(Movimentacoes!$A:$A,Movimentacoes!$D:$D,A6),"")</f>
        <v>46250</v>
      </c>
      <c r="S6" s="7">
        <f t="shared" ca="1" si="10"/>
        <v>9</v>
      </c>
      <c r="T6" t="str">
        <f t="shared" ca="1" si="1"/>
        <v>Ponto de Reposicao</v>
      </c>
      <c r="U6" t="str">
        <f t="shared" ca="1" si="2"/>
        <v>Medio</v>
      </c>
      <c r="V6" s="9">
        <f t="shared" si="3"/>
        <v>0.99994038831105536</v>
      </c>
      <c r="W6" t="str">
        <f t="shared" si="4"/>
        <v>C</v>
      </c>
    </row>
    <row r="7" spans="1:24" ht="15" hidden="1" customHeight="1" x14ac:dyDescent="0.25">
      <c r="A7">
        <v>2010</v>
      </c>
      <c r="B7" t="s">
        <v>82</v>
      </c>
      <c r="C7" t="s">
        <v>60</v>
      </c>
      <c r="D7" t="s">
        <v>61</v>
      </c>
      <c r="E7" s="6">
        <v>2150</v>
      </c>
      <c r="F7" s="7">
        <f>SUMIFS(Movimentacoes!$H:$H, Movimentacoes!$D:$D, A7)</f>
        <v>40</v>
      </c>
      <c r="G7" s="7">
        <f t="shared" ca="1" si="5"/>
        <v>7.8650000000000011</v>
      </c>
      <c r="H7" s="7">
        <f t="shared" ca="1" si="6"/>
        <v>83.380000000000024</v>
      </c>
      <c r="I7" t="s">
        <v>83</v>
      </c>
      <c r="J7" t="s">
        <v>63</v>
      </c>
      <c r="K7" s="32">
        <f ca="1">AVERAGEIFS(Pedidos!$O:$O,Pedidos!$A:$A,A7,Pedidos!$L:$L,"Recebido")</f>
        <v>7</v>
      </c>
      <c r="L7" s="7">
        <f>ROUND(ABS(SUMIFS(Movimentacoes!$H:$H,Movimentacoes!$D:$D,A7,Movimentacoes!$C:$C,"261"))/MAX(1,DATEDIF(_xlfn.MINIFS(Movimentacoes!$A:$A,Movimentacoes!$D:$D,A7,Movimentacoes!$C:$C,"261"),_xlfn.MAXIFS(Movimentacoes!$A:$A,Movimentacoes!$D:$D,A7,Movimentacoes!$C:$C,"261"),"d")),1)</f>
        <v>1.2</v>
      </c>
      <c r="M7">
        <f t="shared" ca="1" si="7"/>
        <v>21.010000000000005</v>
      </c>
      <c r="N7">
        <f t="shared" ca="1" si="8"/>
        <v>70.735000000000014</v>
      </c>
      <c r="O7" s="6">
        <f t="shared" si="0"/>
        <v>86000</v>
      </c>
      <c r="P7" s="7">
        <f t="shared" si="9"/>
        <v>33.299999999999997</v>
      </c>
      <c r="Q7" s="8">
        <f>IFERROR(_xlfn.MAXIFS(Movimentacoes!$A:$A,Movimentacoes!$D:$D,A7),"")</f>
        <v>46257</v>
      </c>
      <c r="S7" s="7">
        <f t="shared" ca="1" si="10"/>
        <v>2</v>
      </c>
      <c r="T7" t="str">
        <f t="shared" ca="1" si="1"/>
        <v>Normal</v>
      </c>
      <c r="U7" t="str">
        <f t="shared" ca="1" si="2"/>
        <v>Baixo</v>
      </c>
      <c r="V7" s="9">
        <f t="shared" si="3"/>
        <v>0.97959472731105879</v>
      </c>
      <c r="W7" t="str">
        <f t="shared" si="4"/>
        <v>C</v>
      </c>
    </row>
    <row r="8" spans="1:24" ht="15" hidden="1" customHeight="1" x14ac:dyDescent="0.25">
      <c r="A8">
        <v>2001</v>
      </c>
      <c r="B8" t="s">
        <v>59</v>
      </c>
      <c r="C8" t="s">
        <v>60</v>
      </c>
      <c r="D8" t="s">
        <v>61</v>
      </c>
      <c r="E8" s="6">
        <v>18500</v>
      </c>
      <c r="F8" s="7">
        <f>SUMIFS(Movimentacoes!$H:$H, Movimentacoes!$D:$D, A8)</f>
        <v>224</v>
      </c>
      <c r="G8" s="7">
        <f t="shared" ca="1" si="5"/>
        <v>5.3900000000000006</v>
      </c>
      <c r="H8" s="7">
        <f t="shared" ca="1" si="6"/>
        <v>51.100000000000009</v>
      </c>
      <c r="I8" t="s">
        <v>62</v>
      </c>
      <c r="J8" t="s">
        <v>63</v>
      </c>
      <c r="K8" s="32">
        <f ca="1">AVERAGEIFS(Pedidos!$O:$O,Pedidos!$A:$A,A8,Pedidos!$L:$L,"Recebido")</f>
        <v>7</v>
      </c>
      <c r="L8" s="7">
        <f>ROUND(ABS(SUMIFS(Movimentacoes!$H:$H,Movimentacoes!$D:$D,A8,Movimentacoes!$C:$C,"261"))/MAX(1,DATEDIF(_xlfn.MINIFS(Movimentacoes!$A:$A,Movimentacoes!$D:$D,A8,Movimentacoes!$C:$C,"261"),_xlfn.MAXIFS(Movimentacoes!$A:$A,Movimentacoes!$D:$D,A8,Movimentacoes!$C:$C,"261"),"d")),1)</f>
        <v>0.6</v>
      </c>
      <c r="M8">
        <f t="shared" ca="1" si="7"/>
        <v>11.5</v>
      </c>
      <c r="N8">
        <f t="shared" ca="1" si="8"/>
        <v>51.760000000000005</v>
      </c>
      <c r="O8" s="6">
        <f t="shared" si="0"/>
        <v>4144000</v>
      </c>
      <c r="P8" s="7">
        <f t="shared" si="9"/>
        <v>373.3</v>
      </c>
      <c r="Q8" s="8">
        <f>IFERROR(_xlfn.MAXIFS(Movimentacoes!$A:$A,Movimentacoes!$D:$D,A8),"")</f>
        <v>45892</v>
      </c>
      <c r="S8" s="7">
        <f t="shared" ca="1" si="10"/>
        <v>367</v>
      </c>
      <c r="T8" t="str">
        <f t="shared" ca="1" si="1"/>
        <v>Normal</v>
      </c>
      <c r="U8" t="str">
        <f t="shared" ca="1" si="2"/>
        <v>Baixo</v>
      </c>
      <c r="V8" s="9">
        <f t="shared" si="3"/>
        <v>0.50568723111451319</v>
      </c>
      <c r="W8" t="str">
        <f t="shared" si="4"/>
        <v>A</v>
      </c>
    </row>
    <row r="9" spans="1:24" ht="15" hidden="1" customHeight="1" x14ac:dyDescent="0.25">
      <c r="A9">
        <v>5002</v>
      </c>
      <c r="B9" t="s">
        <v>119</v>
      </c>
      <c r="C9" t="s">
        <v>117</v>
      </c>
      <c r="D9" t="s">
        <v>61</v>
      </c>
      <c r="E9" s="6">
        <v>17800</v>
      </c>
      <c r="F9" s="7">
        <f>SUMIFS(Movimentacoes!$H:$H, Movimentacoes!$D:$D, A9)</f>
        <v>22</v>
      </c>
      <c r="G9" s="7">
        <f t="shared" ca="1" si="5"/>
        <v>13.860000000000003</v>
      </c>
      <c r="H9" s="7">
        <f t="shared" ca="1" si="6"/>
        <v>84.595000000000013</v>
      </c>
      <c r="I9" t="s">
        <v>120</v>
      </c>
      <c r="J9" t="s">
        <v>73</v>
      </c>
      <c r="K9" s="32">
        <f ca="1">AVERAGEIFS(Pedidos!$O:$O,Pedidos!$A:$A,A9,Pedidos!$L:$L,"Recebido")</f>
        <v>5.5</v>
      </c>
      <c r="L9" s="7">
        <f>ROUND(ABS(SUMIFS(Movimentacoes!$H:$H,Movimentacoes!$D:$D,A9,Movimentacoes!$C:$C,"261"))/MAX(1,DATEDIF(_xlfn.MINIFS(Movimentacoes!$A:$A,Movimentacoes!$D:$D,A9,Movimentacoes!$C:$C,"261"),_xlfn.MAXIFS(Movimentacoes!$A:$A,Movimentacoes!$D:$D,A9,Movimentacoes!$C:$C,"261"),"d")),1)</f>
        <v>1.3</v>
      </c>
      <c r="M9">
        <f t="shared" ca="1" si="7"/>
        <v>22.885000000000002</v>
      </c>
      <c r="N9">
        <f t="shared" ca="1" si="8"/>
        <v>103.78500000000003</v>
      </c>
      <c r="O9" s="6">
        <f t="shared" si="0"/>
        <v>391600</v>
      </c>
      <c r="P9" s="7">
        <f t="shared" si="9"/>
        <v>16.899999999999999</v>
      </c>
      <c r="Q9" s="8">
        <f>IFERROR(_xlfn.MAXIFS(Movimentacoes!$A:$A,Movimentacoes!$D:$D,A9),"")</f>
        <v>46250</v>
      </c>
      <c r="S9" s="7">
        <f t="shared" ca="1" si="10"/>
        <v>9</v>
      </c>
      <c r="T9" t="str">
        <f t="shared" ca="1" si="1"/>
        <v>Ponto de Reposicao</v>
      </c>
      <c r="U9" t="str">
        <f t="shared" ca="1" si="2"/>
        <v>Baixo</v>
      </c>
      <c r="V9" s="9">
        <f t="shared" si="3"/>
        <v>0.89417977764642542</v>
      </c>
      <c r="W9" t="str">
        <f t="shared" si="4"/>
        <v>B</v>
      </c>
    </row>
    <row r="10" spans="1:24" ht="15" hidden="1" customHeight="1" x14ac:dyDescent="0.25">
      <c r="A10">
        <v>5005</v>
      </c>
      <c r="B10" t="s">
        <v>125</v>
      </c>
      <c r="C10" t="s">
        <v>117</v>
      </c>
      <c r="D10" t="s">
        <v>61</v>
      </c>
      <c r="E10" s="6">
        <v>780</v>
      </c>
      <c r="F10" s="7">
        <f>SUMIFS(Movimentacoes!$H:$H, Movimentacoes!$D:$D, A10)</f>
        <v>141</v>
      </c>
      <c r="G10" s="7">
        <f t="shared" ca="1" si="5"/>
        <v>6.6000000000000005</v>
      </c>
      <c r="H10" s="7">
        <f t="shared" ca="1" si="6"/>
        <v>58.360000000000007</v>
      </c>
      <c r="I10" t="s">
        <v>126</v>
      </c>
      <c r="J10" t="s">
        <v>73</v>
      </c>
      <c r="K10" s="32">
        <f ca="1">AVERAGEIFS(Pedidos!$O:$O,Pedidos!$A:$A,A10,Pedidos!$L:$L,"Recebido")</f>
        <v>7</v>
      </c>
      <c r="L10" s="7">
        <f>ROUND(ABS(SUMIFS(Movimentacoes!$H:$H,Movimentacoes!$D:$D,A10,Movimentacoes!$C:$C,"261"))/MAX(1,DATEDIF(_xlfn.MINIFS(Movimentacoes!$A:$A,Movimentacoes!$D:$D,A10,Movimentacoes!$C:$C,"261"),_xlfn.MAXIFS(Movimentacoes!$A:$A,Movimentacoes!$D:$D,A10,Movimentacoes!$C:$C,"261"),"d")),1)</f>
        <v>0.7</v>
      </c>
      <c r="M10">
        <f t="shared" ca="1" si="7"/>
        <v>19.090000000000003</v>
      </c>
      <c r="N10">
        <f t="shared" ca="1" si="8"/>
        <v>97.37</v>
      </c>
      <c r="O10" s="6">
        <f t="shared" si="0"/>
        <v>109980</v>
      </c>
      <c r="P10" s="7">
        <f t="shared" si="9"/>
        <v>201.4</v>
      </c>
      <c r="Q10" s="8">
        <f>IFERROR(_xlfn.MAXIFS(Movimentacoes!$A:$A,Movimentacoes!$D:$D,A10),"")</f>
        <v>46257</v>
      </c>
      <c r="S10" s="7">
        <f t="shared" ca="1" si="10"/>
        <v>2</v>
      </c>
      <c r="T10" t="str">
        <f t="shared" ca="1" si="1"/>
        <v>Normal</v>
      </c>
      <c r="U10" t="str">
        <f t="shared" ca="1" si="2"/>
        <v>Baixo</v>
      </c>
      <c r="V10" s="9">
        <f t="shared" si="3"/>
        <v>0.96618036928034212</v>
      </c>
      <c r="W10" t="str">
        <f t="shared" si="4"/>
        <v>C</v>
      </c>
    </row>
    <row r="11" spans="1:24" ht="15" hidden="1" customHeight="1" x14ac:dyDescent="0.25">
      <c r="A11">
        <v>2357</v>
      </c>
      <c r="B11" t="s">
        <v>91</v>
      </c>
      <c r="C11" t="s">
        <v>89</v>
      </c>
      <c r="D11" t="s">
        <v>61</v>
      </c>
      <c r="E11" s="6">
        <v>210</v>
      </c>
      <c r="F11" s="7">
        <f>SUMIFS(Movimentacoes!$H:$H, Movimentacoes!$D:$D, A11)</f>
        <v>71</v>
      </c>
      <c r="G11" s="7">
        <f t="shared" ca="1" si="5"/>
        <v>10.285000000000002</v>
      </c>
      <c r="H11" s="7">
        <f t="shared" ca="1" si="6"/>
        <v>114.07000000000002</v>
      </c>
      <c r="I11" t="s">
        <v>92</v>
      </c>
      <c r="J11" t="s">
        <v>73</v>
      </c>
      <c r="K11" s="32">
        <f ca="1">AVERAGEIFS(Pedidos!$O:$O,Pedidos!$A:$A,A11,Pedidos!$L:$L,"Recebido")</f>
        <v>7</v>
      </c>
      <c r="L11" s="7">
        <f>ROUND(ABS(SUMIFS(Movimentacoes!$H:$H,Movimentacoes!$D:$D,A11,Movimentacoes!$C:$C,"261"))/MAX(1,DATEDIF(_xlfn.MINIFS(Movimentacoes!$A:$A,Movimentacoes!$D:$D,A11,Movimentacoes!$C:$C,"261"),_xlfn.MAXIFS(Movimentacoes!$A:$A,Movimentacoes!$D:$D,A11,Movimentacoes!$C:$C,"261"),"d")),1)</f>
        <v>1.8</v>
      </c>
      <c r="M11">
        <f t="shared" ca="1" si="7"/>
        <v>21.67</v>
      </c>
      <c r="N11">
        <f t="shared" ca="1" si="8"/>
        <v>85.12</v>
      </c>
      <c r="O11" s="6">
        <f t="shared" si="0"/>
        <v>14910</v>
      </c>
      <c r="P11" s="7">
        <f t="shared" si="9"/>
        <v>39.4</v>
      </c>
      <c r="Q11" s="8">
        <f>IFERROR(_xlfn.MAXIFS(Movimentacoes!$A:$A,Movimentacoes!$D:$D,A11),"")</f>
        <v>46253</v>
      </c>
      <c r="S11" s="7">
        <f t="shared" ca="1" si="10"/>
        <v>6</v>
      </c>
      <c r="T11" t="str">
        <f t="shared" ca="1" si="1"/>
        <v>Normal</v>
      </c>
      <c r="U11" t="str">
        <f t="shared" ca="1" si="2"/>
        <v>Baixo</v>
      </c>
      <c r="V11" s="9">
        <f t="shared" si="3"/>
        <v>0.99650264431952129</v>
      </c>
      <c r="W11" t="str">
        <f t="shared" si="4"/>
        <v>C</v>
      </c>
    </row>
    <row r="12" spans="1:24" ht="15" hidden="1" customHeight="1" x14ac:dyDescent="0.25">
      <c r="A12">
        <v>9005</v>
      </c>
      <c r="B12" t="s">
        <v>163</v>
      </c>
      <c r="C12" t="s">
        <v>155</v>
      </c>
      <c r="D12" t="s">
        <v>61</v>
      </c>
      <c r="E12" s="6">
        <v>8.9</v>
      </c>
      <c r="F12" s="7">
        <f>SUMIFS(Movimentacoes!$H:$H, Movimentacoes!$D:$D, A12)</f>
        <v>64</v>
      </c>
      <c r="G12" s="7">
        <f t="shared" ca="1" si="5"/>
        <v>13.090000000000002</v>
      </c>
      <c r="H12" s="7">
        <f t="shared" ca="1" si="6"/>
        <v>110.46000000000001</v>
      </c>
      <c r="I12" t="s">
        <v>164</v>
      </c>
      <c r="J12" t="s">
        <v>73</v>
      </c>
      <c r="K12" s="32">
        <f ca="1">AVERAGEIFS(Pedidos!$O:$O,Pedidos!$A:$A,A12,Pedidos!$L:$L,"Recebido")</f>
        <v>4</v>
      </c>
      <c r="L12" s="7">
        <f>ROUND(ABS(SUMIFS(Movimentacoes!$H:$H,Movimentacoes!$D:$D,A12,Movimentacoes!$C:$C,"261"))/MAX(1,DATEDIF(_xlfn.MINIFS(Movimentacoes!$A:$A,Movimentacoes!$D:$D,A12,Movimentacoes!$C:$C,"261"),_xlfn.MAXIFS(Movimentacoes!$A:$A,Movimentacoes!$D:$D,A12,Movimentacoes!$C:$C,"261"),"d")),1)</f>
        <v>1.5</v>
      </c>
      <c r="M12">
        <f t="shared" ca="1" si="7"/>
        <v>25.980000000000004</v>
      </c>
      <c r="N12">
        <f t="shared" ca="1" si="8"/>
        <v>97.280000000000015</v>
      </c>
      <c r="O12" s="6">
        <f t="shared" si="0"/>
        <v>569.6</v>
      </c>
      <c r="P12" s="7">
        <f t="shared" si="9"/>
        <v>42.7</v>
      </c>
      <c r="Q12" s="8">
        <f>IFERROR(_xlfn.MAXIFS(Movimentacoes!$A:$A,Movimentacoes!$D:$D,A12),"")</f>
        <v>46253</v>
      </c>
      <c r="S12" s="7">
        <f t="shared" ca="1" si="10"/>
        <v>6</v>
      </c>
      <c r="T12" t="str">
        <f t="shared" ca="1" si="1"/>
        <v>Normal</v>
      </c>
      <c r="U12" t="str">
        <f t="shared" ca="1" si="2"/>
        <v>Baixo</v>
      </c>
      <c r="V12" s="9">
        <f t="shared" si="3"/>
        <v>0.99996851057213121</v>
      </c>
      <c r="W12" t="str">
        <f t="shared" si="4"/>
        <v>C</v>
      </c>
    </row>
    <row r="13" spans="1:24" ht="15" hidden="1" customHeight="1" x14ac:dyDescent="0.25">
      <c r="A13">
        <v>6003</v>
      </c>
      <c r="B13" t="s">
        <v>136</v>
      </c>
      <c r="C13" t="s">
        <v>132</v>
      </c>
      <c r="D13" t="s">
        <v>103</v>
      </c>
      <c r="E13" s="6">
        <v>85</v>
      </c>
      <c r="F13" s="7">
        <f>SUMIFS(Movimentacoes!$H:$H, Movimentacoes!$D:$D, A13)</f>
        <v>10</v>
      </c>
      <c r="G13" s="7">
        <f t="shared" ca="1" si="5"/>
        <v>12.320000000000002</v>
      </c>
      <c r="H13" s="7">
        <f t="shared" ca="1" si="6"/>
        <v>97.440000000000012</v>
      </c>
      <c r="I13" t="s">
        <v>137</v>
      </c>
      <c r="J13" t="s">
        <v>73</v>
      </c>
      <c r="K13" s="32">
        <f ca="1">AVERAGEIFS(Pedidos!$O:$O,Pedidos!$A:$A,A13,Pedidos!$L:$L,"Recebido")</f>
        <v>8.5</v>
      </c>
      <c r="L13" s="7">
        <f>ROUND(ABS(SUMIFS(Movimentacoes!$H:$H,Movimentacoes!$D:$D,A13,Movimentacoes!$C:$C,"261"))/MAX(1,DATEDIF(_xlfn.MINIFS(Movimentacoes!$A:$A,Movimentacoes!$D:$D,A13,Movimentacoes!$C:$C,"261"),_xlfn.MAXIFS(Movimentacoes!$A:$A,Movimentacoes!$D:$D,A13,Movimentacoes!$C:$C,"261"),"d")),1)</f>
        <v>1.1000000000000001</v>
      </c>
      <c r="M13">
        <f t="shared" ca="1" si="7"/>
        <v>23.520000000000003</v>
      </c>
      <c r="N13">
        <f t="shared" ca="1" si="8"/>
        <v>85.12</v>
      </c>
      <c r="O13" s="6">
        <f t="shared" si="0"/>
        <v>850</v>
      </c>
      <c r="P13" s="7">
        <f t="shared" si="9"/>
        <v>9.1</v>
      </c>
      <c r="Q13" s="8">
        <f>IFERROR(_xlfn.MAXIFS(Movimentacoes!$A:$A,Movimentacoes!$D:$D,A13),"")</f>
        <v>46250</v>
      </c>
      <c r="S13" s="7">
        <f t="shared" ca="1" si="10"/>
        <v>9</v>
      </c>
      <c r="T13" t="str">
        <f t="shared" ca="1" si="1"/>
        <v>Abaixo do Minimo</v>
      </c>
      <c r="U13" t="str">
        <f t="shared" ca="1" si="2"/>
        <v>Baixo</v>
      </c>
      <c r="V13" s="9">
        <f t="shared" si="3"/>
        <v>0.99982359897015849</v>
      </c>
      <c r="W13" t="str">
        <f t="shared" si="4"/>
        <v>C</v>
      </c>
    </row>
    <row r="14" spans="1:24" ht="15" hidden="1" customHeight="1" x14ac:dyDescent="0.25">
      <c r="A14">
        <v>6001</v>
      </c>
      <c r="B14" t="s">
        <v>131</v>
      </c>
      <c r="C14" t="s">
        <v>132</v>
      </c>
      <c r="D14" t="s">
        <v>61</v>
      </c>
      <c r="E14" s="6">
        <v>15800</v>
      </c>
      <c r="F14" s="7">
        <f>SUMIFS(Movimentacoes!$H:$H, Movimentacoes!$D:$D, A14)</f>
        <v>39</v>
      </c>
      <c r="G14" s="7">
        <f t="shared" ca="1" si="5"/>
        <v>14.080000000000002</v>
      </c>
      <c r="H14" s="7">
        <f t="shared" ca="1" si="6"/>
        <v>111.36000000000001</v>
      </c>
      <c r="I14" t="s">
        <v>133</v>
      </c>
      <c r="J14" t="s">
        <v>63</v>
      </c>
      <c r="K14" s="32">
        <f ca="1">AVERAGEIFS(Pedidos!$O:$O,Pedidos!$A:$A,A14,Pedidos!$L:$L,"Recebido")</f>
        <v>7</v>
      </c>
      <c r="L14" s="7">
        <f>ROUND(ABS(SUMIFS(Movimentacoes!$H:$H,Movimentacoes!$D:$D,A14,Movimentacoes!$C:$C,"261"))/MAX(1,DATEDIF(_xlfn.MINIFS(Movimentacoes!$A:$A,Movimentacoes!$D:$D,A14,Movimentacoes!$C:$C,"261"),_xlfn.MAXIFS(Movimentacoes!$A:$A,Movimentacoes!$D:$D,A14,Movimentacoes!$C:$C,"261"),"d")),1)</f>
        <v>1.7</v>
      </c>
      <c r="M14">
        <f t="shared" ca="1" si="7"/>
        <v>25.120000000000005</v>
      </c>
      <c r="N14">
        <f t="shared" ca="1" si="8"/>
        <v>74.34</v>
      </c>
      <c r="O14" s="6">
        <f t="shared" si="0"/>
        <v>616200</v>
      </c>
      <c r="P14" s="7">
        <f t="shared" si="9"/>
        <v>22.9</v>
      </c>
      <c r="Q14" s="8">
        <f>IFERROR(_xlfn.MAXIFS(Movimentacoes!$A:$A,Movimentacoes!$D:$D,A14),"")</f>
        <v>46252</v>
      </c>
      <c r="S14" s="7">
        <f t="shared" ca="1" si="10"/>
        <v>7</v>
      </c>
      <c r="T14" t="str">
        <f t="shared" ca="1" si="1"/>
        <v>Normal</v>
      </c>
      <c r="U14" t="str">
        <f t="shared" ca="1" si="2"/>
        <v>Baixo</v>
      </c>
      <c r="V14" s="9">
        <f t="shared" si="3"/>
        <v>0.82680978093227664</v>
      </c>
      <c r="W14" t="str">
        <f t="shared" si="4"/>
        <v>B</v>
      </c>
    </row>
    <row r="15" spans="1:24" ht="15" hidden="1" customHeight="1" x14ac:dyDescent="0.25">
      <c r="A15">
        <v>8002</v>
      </c>
      <c r="B15" t="s">
        <v>151</v>
      </c>
      <c r="C15" t="s">
        <v>148</v>
      </c>
      <c r="D15" t="s">
        <v>152</v>
      </c>
      <c r="E15" s="6">
        <v>32</v>
      </c>
      <c r="F15" s="7">
        <f>SUMIFS(Movimentacoes!$H:$H, Movimentacoes!$D:$D, A15)</f>
        <v>26</v>
      </c>
      <c r="G15" s="7">
        <f t="shared" ca="1" si="5"/>
        <v>12.320000000000002</v>
      </c>
      <c r="H15" s="7">
        <f t="shared" ca="1" si="6"/>
        <v>97.440000000000012</v>
      </c>
      <c r="I15" t="s">
        <v>153</v>
      </c>
      <c r="J15" t="s">
        <v>73</v>
      </c>
      <c r="K15" s="32">
        <f ca="1">AVERAGEIFS(Pedidos!$O:$O,Pedidos!$A:$A,A15,Pedidos!$L:$L,"Recebido")</f>
        <v>7</v>
      </c>
      <c r="L15" s="7">
        <f>ROUND(ABS(SUMIFS(Movimentacoes!$H:$H,Movimentacoes!$D:$D,A15,Movimentacoes!$C:$C,"261"))/MAX(1,DATEDIF(_xlfn.MINIFS(Movimentacoes!$A:$A,Movimentacoes!$D:$D,A15,Movimentacoes!$C:$C,"261"),_xlfn.MAXIFS(Movimentacoes!$A:$A,Movimentacoes!$D:$D,A15,Movimentacoes!$C:$C,"261"),"d")),1)</f>
        <v>1.6</v>
      </c>
      <c r="M15">
        <f t="shared" ca="1" si="7"/>
        <v>23.520000000000003</v>
      </c>
      <c r="N15">
        <f t="shared" ca="1" si="8"/>
        <v>103.60000000000001</v>
      </c>
      <c r="O15" s="6">
        <f t="shared" si="0"/>
        <v>832</v>
      </c>
      <c r="P15" s="7">
        <f t="shared" si="9"/>
        <v>16.3</v>
      </c>
      <c r="Q15" s="8">
        <f>IFERROR(_xlfn.MAXIFS(Movimentacoes!$A:$A,Movimentacoes!$D:$D,A15),"")</f>
        <v>46254</v>
      </c>
      <c r="S15" s="7">
        <f t="shared" ca="1" si="10"/>
        <v>5</v>
      </c>
      <c r="T15" t="str">
        <f t="shared" ca="1" si="1"/>
        <v>Normal</v>
      </c>
      <c r="U15" t="str">
        <f t="shared" ca="1" si="2"/>
        <v>Baixo</v>
      </c>
      <c r="V15" s="9">
        <f t="shared" si="3"/>
        <v>0.99986467643015686</v>
      </c>
      <c r="W15" t="str">
        <f t="shared" si="4"/>
        <v>C</v>
      </c>
    </row>
    <row r="16" spans="1:24" ht="15" hidden="1" customHeight="1" x14ac:dyDescent="0.25">
      <c r="A16">
        <v>2004</v>
      </c>
      <c r="B16" t="s">
        <v>69</v>
      </c>
      <c r="C16" t="s">
        <v>67</v>
      </c>
      <c r="D16" t="s">
        <v>61</v>
      </c>
      <c r="E16" s="6">
        <v>11800</v>
      </c>
      <c r="F16" s="7">
        <f>SUMIFS(Movimentacoes!$H:$H, Movimentacoes!$D:$D, A16)</f>
        <v>33</v>
      </c>
      <c r="G16" s="7">
        <f t="shared" ca="1" si="5"/>
        <v>12.320000000000002</v>
      </c>
      <c r="H16" s="7">
        <f t="shared" ca="1" si="6"/>
        <v>86.660000000000011</v>
      </c>
      <c r="I16" t="s">
        <v>70</v>
      </c>
      <c r="J16" t="s">
        <v>63</v>
      </c>
      <c r="K16" s="32">
        <f ca="1">AVERAGEIFS(Pedidos!$O:$O,Pedidos!$A:$A,A16,Pedidos!$L:$L,"Recebido")</f>
        <v>8</v>
      </c>
      <c r="L16" s="7">
        <f>ROUND(ABS(SUMIFS(Movimentacoes!$H:$H,Movimentacoes!$D:$D,A16,Movimentacoes!$C:$C,"261"))/MAX(1,DATEDIF(_xlfn.MINIFS(Movimentacoes!$A:$A,Movimentacoes!$D:$D,A16,Movimentacoes!$C:$C,"261"),_xlfn.MAXIFS(Movimentacoes!$A:$A,Movimentacoes!$D:$D,A16,Movimentacoes!$C:$C,"261"),"d")),1)</f>
        <v>1.6</v>
      </c>
      <c r="M16">
        <f t="shared" ca="1" si="7"/>
        <v>21.980000000000004</v>
      </c>
      <c r="N16">
        <f t="shared" ca="1" si="8"/>
        <v>66.780000000000015</v>
      </c>
      <c r="O16" s="6">
        <f t="shared" si="0"/>
        <v>389400</v>
      </c>
      <c r="P16" s="7">
        <f t="shared" si="9"/>
        <v>20.6</v>
      </c>
      <c r="Q16" s="8">
        <f>IFERROR(_xlfn.MAXIFS(Movimentacoes!$A:$A,Movimentacoes!$D:$D,A16),"")</f>
        <v>46250</v>
      </c>
      <c r="S16" s="7">
        <f t="shared" ca="1" si="10"/>
        <v>9</v>
      </c>
      <c r="T16" t="str">
        <f t="shared" ca="1" si="1"/>
        <v>Normal</v>
      </c>
      <c r="U16" t="str">
        <f t="shared" ca="1" si="2"/>
        <v>Baixo</v>
      </c>
      <c r="V16" s="9">
        <f t="shared" si="3"/>
        <v>0.91340521385239193</v>
      </c>
      <c r="W16" t="str">
        <f t="shared" si="4"/>
        <v>C</v>
      </c>
    </row>
    <row r="17" spans="1:23" ht="15" hidden="1" customHeight="1" x14ac:dyDescent="0.25">
      <c r="A17">
        <v>9003</v>
      </c>
      <c r="B17" t="s">
        <v>159</v>
      </c>
      <c r="C17" t="s">
        <v>155</v>
      </c>
      <c r="D17" t="s">
        <v>61</v>
      </c>
      <c r="E17" s="6">
        <v>2.2000000000000002</v>
      </c>
      <c r="F17" s="7">
        <f>SUMIFS(Movimentacoes!$H:$H, Movimentacoes!$D:$D, A17)</f>
        <v>29</v>
      </c>
      <c r="G17" s="7">
        <f t="shared" ca="1" si="5"/>
        <v>12.320000000000002</v>
      </c>
      <c r="H17" s="7">
        <f t="shared" ca="1" si="6"/>
        <v>115.92000000000002</v>
      </c>
      <c r="I17" t="s">
        <v>160</v>
      </c>
      <c r="J17" t="s">
        <v>73</v>
      </c>
      <c r="K17" s="32">
        <f ca="1">AVERAGEIFS(Pedidos!$O:$O,Pedidos!$A:$A,A17,Pedidos!$L:$L,"Recebido")</f>
        <v>7</v>
      </c>
      <c r="L17" s="7">
        <f>ROUND(ABS(SUMIFS(Movimentacoes!$H:$H,Movimentacoes!$D:$D,A17,Movimentacoes!$C:$C,"261"))/MAX(1,DATEDIF(_xlfn.MINIFS(Movimentacoes!$A:$A,Movimentacoes!$D:$D,A17,Movimentacoes!$C:$C,"261"),_xlfn.MAXIFS(Movimentacoes!$A:$A,Movimentacoes!$D:$D,A17,Movimentacoes!$C:$C,"261"),"d")),1)</f>
        <v>1.6</v>
      </c>
      <c r="M17">
        <f t="shared" ca="1" si="7"/>
        <v>26.160000000000004</v>
      </c>
      <c r="N17">
        <f t="shared" ca="1" si="8"/>
        <v>115.68</v>
      </c>
      <c r="O17" s="6">
        <f t="shared" si="0"/>
        <v>63.800000000000004</v>
      </c>
      <c r="P17" s="7">
        <f t="shared" si="9"/>
        <v>18.100000000000001</v>
      </c>
      <c r="Q17" s="8">
        <f>IFERROR(_xlfn.MAXIFS(Movimentacoes!$A:$A,Movimentacoes!$D:$D,A17),"")</f>
        <v>46250</v>
      </c>
      <c r="S17" s="7">
        <f t="shared" ca="1" si="10"/>
        <v>9</v>
      </c>
      <c r="T17" t="str">
        <f t="shared" ca="1" si="1"/>
        <v>Normal</v>
      </c>
      <c r="U17" t="str">
        <f t="shared" ca="1" si="2"/>
        <v>Baixo</v>
      </c>
      <c r="V17" s="9">
        <f t="shared" si="3"/>
        <v>1</v>
      </c>
      <c r="W17" t="str">
        <f t="shared" si="4"/>
        <v>C</v>
      </c>
    </row>
    <row r="18" spans="1:23" ht="15" hidden="1" customHeight="1" x14ac:dyDescent="0.25">
      <c r="A18">
        <v>6002</v>
      </c>
      <c r="B18" t="s">
        <v>134</v>
      </c>
      <c r="C18" t="s">
        <v>132</v>
      </c>
      <c r="D18" t="s">
        <v>61</v>
      </c>
      <c r="E18" s="6">
        <v>6900</v>
      </c>
      <c r="F18" s="7">
        <f>SUMIFS(Movimentacoes!$H:$H, Movimentacoes!$D:$D, A18)</f>
        <v>7</v>
      </c>
      <c r="G18" s="7">
        <f t="shared" ca="1" si="5"/>
        <v>10.780000000000001</v>
      </c>
      <c r="H18" s="7">
        <f t="shared" ca="1" si="6"/>
        <v>77.560000000000016</v>
      </c>
      <c r="I18" t="s">
        <v>135</v>
      </c>
      <c r="J18" t="s">
        <v>63</v>
      </c>
      <c r="K18" s="32">
        <f ca="1">AVERAGEIFS(Pedidos!$O:$O,Pedidos!$A:$A,A18,Pedidos!$L:$L,"Recebido")</f>
        <v>7</v>
      </c>
      <c r="L18" s="7">
        <f>ROUND(ABS(SUMIFS(Movimentacoes!$H:$H,Movimentacoes!$D:$D,A18,Movimentacoes!$C:$C,"261"))/MAX(1,DATEDIF(_xlfn.MINIFS(Movimentacoes!$A:$A,Movimentacoes!$D:$D,A18,Movimentacoes!$C:$C,"261"),_xlfn.MAXIFS(Movimentacoes!$A:$A,Movimentacoes!$D:$D,A18,Movimentacoes!$C:$C,"261"),"d")),1)</f>
        <v>1.6</v>
      </c>
      <c r="M18">
        <f t="shared" ca="1" si="7"/>
        <v>19.48</v>
      </c>
      <c r="N18">
        <f t="shared" ca="1" si="8"/>
        <v>63.800000000000004</v>
      </c>
      <c r="O18" s="6">
        <f t="shared" si="0"/>
        <v>48300</v>
      </c>
      <c r="P18" s="7">
        <f t="shared" si="9"/>
        <v>4.4000000000000004</v>
      </c>
      <c r="Q18" s="8">
        <f>IFERROR(_xlfn.MAXIFS(Movimentacoes!$A:$A,Movimentacoes!$D:$D,A18),"")</f>
        <v>46252</v>
      </c>
      <c r="S18" s="7">
        <f t="shared" ca="1" si="10"/>
        <v>7</v>
      </c>
      <c r="T18" t="str">
        <f t="shared" ca="1" si="1"/>
        <v>Abaixo do Minimo</v>
      </c>
      <c r="U18" t="str">
        <f t="shared" ca="1" si="2"/>
        <v>Alto</v>
      </c>
      <c r="V18" s="9">
        <f t="shared" si="3"/>
        <v>0.99196042518508654</v>
      </c>
      <c r="W18" t="str">
        <f t="shared" si="4"/>
        <v>C</v>
      </c>
    </row>
    <row r="19" spans="1:23" ht="15" hidden="1" customHeight="1" x14ac:dyDescent="0.25">
      <c r="A19">
        <v>3003</v>
      </c>
      <c r="B19" t="s">
        <v>107</v>
      </c>
      <c r="C19" t="s">
        <v>102</v>
      </c>
      <c r="D19" t="s">
        <v>61</v>
      </c>
      <c r="E19" s="6">
        <v>2450</v>
      </c>
      <c r="F19" s="7">
        <f>SUMIFS(Movimentacoes!$H:$H, Movimentacoes!$D:$D, A19)</f>
        <v>1</v>
      </c>
      <c r="G19" s="7">
        <f t="shared" ca="1" si="5"/>
        <v>14.96</v>
      </c>
      <c r="H19" s="7">
        <f t="shared" ca="1" si="6"/>
        <v>130.64000000000001</v>
      </c>
      <c r="I19" t="s">
        <v>108</v>
      </c>
      <c r="J19" t="s">
        <v>73</v>
      </c>
      <c r="K19" s="32">
        <f ca="1">AVERAGEIFS(Pedidos!$O:$O,Pedidos!$A:$A,A19,Pedidos!$L:$L,"Recebido")</f>
        <v>7</v>
      </c>
      <c r="L19" s="7">
        <f>ROUND(ABS(SUMIFS(Movimentacoes!$H:$H,Movimentacoes!$D:$D,A19,Movimentacoes!$C:$C,"261"))/MAX(1,DATEDIF(_xlfn.MINIFS(Movimentacoes!$A:$A,Movimentacoes!$D:$D,A19,Movimentacoes!$C:$C,"261"),_xlfn.MAXIFS(Movimentacoes!$A:$A,Movimentacoes!$D:$D,A19,Movimentacoes!$C:$C,"261"),"d")),1)</f>
        <v>1.6</v>
      </c>
      <c r="M19">
        <f t="shared" ca="1" si="7"/>
        <v>28.23</v>
      </c>
      <c r="N19">
        <f t="shared" ca="1" si="8"/>
        <v>71.435000000000016</v>
      </c>
      <c r="O19" s="6">
        <f t="shared" si="0"/>
        <v>2450</v>
      </c>
      <c r="P19" s="7">
        <f t="shared" si="9"/>
        <v>0.6</v>
      </c>
      <c r="Q19" s="8">
        <f>IFERROR(_xlfn.MAXIFS(Movimentacoes!$A:$A,Movimentacoes!$D:$D,A19),"")</f>
        <v>46251</v>
      </c>
      <c r="S19" s="7">
        <f t="shared" ca="1" si="10"/>
        <v>8</v>
      </c>
      <c r="T19" t="str">
        <f t="shared" ca="1" si="1"/>
        <v>Abaixo do Minimo</v>
      </c>
      <c r="U19" t="str">
        <f t="shared" ca="1" si="2"/>
        <v>Medio</v>
      </c>
      <c r="V19" s="9">
        <f t="shared" si="3"/>
        <v>0.99959480936723488</v>
      </c>
      <c r="W19" t="str">
        <f t="shared" si="4"/>
        <v>C</v>
      </c>
    </row>
    <row r="20" spans="1:23" ht="15" hidden="1" customHeight="1" x14ac:dyDescent="0.25">
      <c r="A20">
        <v>5007</v>
      </c>
      <c r="B20" t="s">
        <v>129</v>
      </c>
      <c r="C20" t="s">
        <v>117</v>
      </c>
      <c r="D20" t="s">
        <v>61</v>
      </c>
      <c r="E20" s="6">
        <v>340</v>
      </c>
      <c r="F20" s="7">
        <f>SUMIFS(Movimentacoes!$H:$H, Movimentacoes!$D:$D, A20)</f>
        <v>32</v>
      </c>
      <c r="G20" s="7">
        <f t="shared" ca="1" si="5"/>
        <v>9.6800000000000015</v>
      </c>
      <c r="H20" s="7">
        <f t="shared" ca="1" si="6"/>
        <v>73.48</v>
      </c>
      <c r="I20" t="s">
        <v>130</v>
      </c>
      <c r="J20" t="s">
        <v>73</v>
      </c>
      <c r="K20" s="32">
        <f ca="1">AVERAGEIFS(Pedidos!$O:$O,Pedidos!$A:$A,A20,Pedidos!$L:$L,"Recebido")</f>
        <v>7</v>
      </c>
      <c r="L20" s="7">
        <f>ROUND(ABS(SUMIFS(Movimentacoes!$H:$H,Movimentacoes!$D:$D,A20,Movimentacoes!$C:$C,"261"))/MAX(1,DATEDIF(_xlfn.MINIFS(Movimentacoes!$A:$A,Movimentacoes!$D:$D,A20,Movimentacoes!$C:$C,"261"),_xlfn.MAXIFS(Movimentacoes!$A:$A,Movimentacoes!$D:$D,A20,Movimentacoes!$C:$C,"261"),"d")),1)</f>
        <v>1.4</v>
      </c>
      <c r="M20">
        <f t="shared" ca="1" si="7"/>
        <v>24.970000000000002</v>
      </c>
      <c r="N20">
        <f t="shared" ca="1" si="8"/>
        <v>103.25000000000001</v>
      </c>
      <c r="O20" s="6">
        <f t="shared" si="0"/>
        <v>10880</v>
      </c>
      <c r="P20" s="7">
        <f t="shared" si="9"/>
        <v>22.9</v>
      </c>
      <c r="Q20" s="8">
        <f>IFERROR(_xlfn.MAXIFS(Movimentacoes!$A:$A,Movimentacoes!$D:$D,A20),"")</f>
        <v>46257</v>
      </c>
      <c r="S20" s="7">
        <f t="shared" ca="1" si="10"/>
        <v>2</v>
      </c>
      <c r="T20" t="str">
        <f t="shared" ca="1" si="1"/>
        <v>Normal</v>
      </c>
      <c r="U20" t="str">
        <f t="shared" ca="1" si="2"/>
        <v>Baixo</v>
      </c>
      <c r="V20" s="9">
        <f t="shared" si="3"/>
        <v>0.99911244544393685</v>
      </c>
      <c r="W20" t="str">
        <f t="shared" si="4"/>
        <v>C</v>
      </c>
    </row>
    <row r="21" spans="1:23" ht="15" hidden="1" customHeight="1" x14ac:dyDescent="0.25">
      <c r="A21">
        <v>2360</v>
      </c>
      <c r="B21" t="s">
        <v>97</v>
      </c>
      <c r="C21" t="s">
        <v>89</v>
      </c>
      <c r="D21" t="s">
        <v>61</v>
      </c>
      <c r="E21" s="6">
        <v>2380</v>
      </c>
      <c r="F21" s="7">
        <f>SUMIFS(Movimentacoes!$H:$H, Movimentacoes!$D:$D, A21)</f>
        <v>6</v>
      </c>
      <c r="G21" s="7">
        <f t="shared" ca="1" si="5"/>
        <v>14.63</v>
      </c>
      <c r="H21" s="7">
        <f t="shared" ca="1" si="6"/>
        <v>86.065000000000012</v>
      </c>
      <c r="I21" t="s">
        <v>98</v>
      </c>
      <c r="J21" t="s">
        <v>63</v>
      </c>
      <c r="K21" s="32">
        <f ca="1">AVERAGEIFS(Pedidos!$O:$O,Pedidos!$A:$A,A21,Pedidos!$L:$L,"Recebido")</f>
        <v>8</v>
      </c>
      <c r="L21" s="7">
        <f>ROUND(ABS(SUMIFS(Movimentacoes!$H:$H,Movimentacoes!$D:$D,A21,Movimentacoes!$C:$C,"261"))/MAX(1,DATEDIF(_xlfn.MINIFS(Movimentacoes!$A:$A,Movimentacoes!$D:$D,A21,Movimentacoes!$C:$C,"261"),_xlfn.MAXIFS(Movimentacoes!$A:$A,Movimentacoes!$D:$D,A21,Movimentacoes!$C:$C,"261"),"d")),1)</f>
        <v>1.7</v>
      </c>
      <c r="M21">
        <f t="shared" ca="1" si="7"/>
        <v>23.695</v>
      </c>
      <c r="N21">
        <f t="shared" ca="1" si="8"/>
        <v>87.412500000000023</v>
      </c>
      <c r="O21" s="6">
        <f t="shared" si="0"/>
        <v>14280</v>
      </c>
      <c r="P21" s="7">
        <f t="shared" si="9"/>
        <v>3.5</v>
      </c>
      <c r="Q21" s="8">
        <f>IFERROR(_xlfn.MAXIFS(Movimentacoes!$A:$A,Movimentacoes!$D:$D,A21),"")</f>
        <v>46249</v>
      </c>
      <c r="S21" s="7">
        <f t="shared" ca="1" si="10"/>
        <v>10</v>
      </c>
      <c r="T21" t="str">
        <f t="shared" ca="1" si="1"/>
        <v>Abaixo do Minimo</v>
      </c>
      <c r="U21" t="str">
        <f t="shared" ca="1" si="2"/>
        <v>Alto</v>
      </c>
      <c r="V21" s="9">
        <f t="shared" si="3"/>
        <v>0.99793344334686829</v>
      </c>
      <c r="W21" t="str">
        <f t="shared" si="4"/>
        <v>C</v>
      </c>
    </row>
    <row r="22" spans="1:23" ht="15" hidden="1" customHeight="1" x14ac:dyDescent="0.25">
      <c r="A22">
        <v>5006</v>
      </c>
      <c r="B22" t="s">
        <v>127</v>
      </c>
      <c r="C22" t="s">
        <v>117</v>
      </c>
      <c r="D22" t="s">
        <v>103</v>
      </c>
      <c r="E22" s="6">
        <v>22</v>
      </c>
      <c r="F22" s="7">
        <f>SUMIFS(Movimentacoes!$H:$H, Movimentacoes!$D:$D, A22)</f>
        <v>4</v>
      </c>
      <c r="G22" s="7">
        <f t="shared" ca="1" si="5"/>
        <v>16.170000000000002</v>
      </c>
      <c r="H22" s="7">
        <f t="shared" ca="1" si="6"/>
        <v>119.42000000000002</v>
      </c>
      <c r="I22" t="s">
        <v>128</v>
      </c>
      <c r="J22" t="s">
        <v>73</v>
      </c>
      <c r="K22" s="32">
        <f ca="1">AVERAGEIFS(Pedidos!$O:$O,Pedidos!$A:$A,A22,Pedidos!$L:$L,"Recebido")</f>
        <v>4</v>
      </c>
      <c r="L22" s="7">
        <f>ROUND(ABS(SUMIFS(Movimentacoes!$H:$H,Movimentacoes!$D:$D,A22,Movimentacoes!$C:$C,"261"))/MAX(1,DATEDIF(_xlfn.MINIFS(Movimentacoes!$A:$A,Movimentacoes!$D:$D,A22,Movimentacoes!$C:$C,"261"),_xlfn.MAXIFS(Movimentacoes!$A:$A,Movimentacoes!$D:$D,A22,Movimentacoes!$C:$C,"261"),"d")),1)</f>
        <v>2.2000000000000002</v>
      </c>
      <c r="M22">
        <f t="shared" ca="1" si="7"/>
        <v>29.660000000000004</v>
      </c>
      <c r="N22">
        <f t="shared" ca="1" si="8"/>
        <v>109.52000000000001</v>
      </c>
      <c r="O22" s="6">
        <f t="shared" si="0"/>
        <v>88</v>
      </c>
      <c r="P22" s="7">
        <f t="shared" si="9"/>
        <v>1.8</v>
      </c>
      <c r="Q22" s="8">
        <f>IFERROR(_xlfn.MAXIFS(Movimentacoes!$A:$A,Movimentacoes!$D:$D,A22),"")</f>
        <v>46251</v>
      </c>
      <c r="S22" s="7">
        <f t="shared" ca="1" si="10"/>
        <v>8</v>
      </c>
      <c r="T22" t="str">
        <f t="shared" ca="1" si="1"/>
        <v>Abaixo do Minimo</v>
      </c>
      <c r="U22" t="str">
        <f t="shared" ca="1" si="2"/>
        <v>Medio</v>
      </c>
      <c r="V22" s="9">
        <f t="shared" si="3"/>
        <v>0.99999685006977435</v>
      </c>
      <c r="W22" t="str">
        <f t="shared" si="4"/>
        <v>C</v>
      </c>
    </row>
    <row r="23" spans="1:23" ht="15" hidden="1" customHeight="1" x14ac:dyDescent="0.25">
      <c r="A23">
        <v>2011</v>
      </c>
      <c r="B23" t="s">
        <v>84</v>
      </c>
      <c r="C23" t="s">
        <v>60</v>
      </c>
      <c r="D23" t="s">
        <v>61</v>
      </c>
      <c r="E23" s="6">
        <v>9800</v>
      </c>
      <c r="F23" s="7">
        <f>SUMIFS(Movimentacoes!$H:$H, Movimentacoes!$D:$D, A23)</f>
        <v>2</v>
      </c>
      <c r="G23" s="7">
        <f t="shared" ca="1" si="5"/>
        <v>10.395000000000001</v>
      </c>
      <c r="H23" s="7">
        <f t="shared" ca="1" si="6"/>
        <v>97.807500000000019</v>
      </c>
      <c r="I23" t="s">
        <v>85</v>
      </c>
      <c r="J23" t="s">
        <v>73</v>
      </c>
      <c r="K23" s="32">
        <f ca="1">AVERAGEIFS(Pedidos!$O:$O,Pedidos!$A:$A,A23,Pedidos!$L:$L,"Recebido")</f>
        <v>7</v>
      </c>
      <c r="L23" s="7">
        <f>ROUND(ABS(SUMIFS(Movimentacoes!$H:$H,Movimentacoes!$D:$D,A23,Movimentacoes!$C:$C,"261"))/MAX(1,DATEDIF(_xlfn.MINIFS(Movimentacoes!$A:$A,Movimentacoes!$D:$D,A23,Movimentacoes!$C:$C,"261"),_xlfn.MAXIFS(Movimentacoes!$A:$A,Movimentacoes!$D:$D,A23,Movimentacoes!$C:$C,"261"),"d")),1)</f>
        <v>1.9</v>
      </c>
      <c r="M23">
        <f t="shared" ca="1" si="7"/>
        <v>29.085000000000001</v>
      </c>
      <c r="N23">
        <f t="shared" ca="1" si="8"/>
        <v>103.32000000000001</v>
      </c>
      <c r="O23" s="6">
        <f t="shared" si="0"/>
        <v>19600</v>
      </c>
      <c r="P23" s="7">
        <f t="shared" si="9"/>
        <v>1.1000000000000001</v>
      </c>
      <c r="Q23" s="8">
        <f>IFERROR(_xlfn.MAXIFS(Movimentacoes!$A:$A,Movimentacoes!$D:$D,A23),"")</f>
        <v>46254</v>
      </c>
      <c r="S23" s="7">
        <f t="shared" ca="1" si="10"/>
        <v>5</v>
      </c>
      <c r="T23" t="str">
        <f t="shared" ca="1" si="1"/>
        <v>Abaixo do Minimo</v>
      </c>
      <c r="U23" t="str">
        <f t="shared" ca="1" si="2"/>
        <v>Medio</v>
      </c>
      <c r="V23" s="9">
        <f t="shared" si="3"/>
        <v>0.99499334389626404</v>
      </c>
      <c r="W23" t="str">
        <f t="shared" si="4"/>
        <v>C</v>
      </c>
    </row>
    <row r="24" spans="1:23" ht="15" hidden="1" customHeight="1" x14ac:dyDescent="0.25">
      <c r="A24">
        <v>9001</v>
      </c>
      <c r="B24" t="s">
        <v>154</v>
      </c>
      <c r="C24" t="s">
        <v>155</v>
      </c>
      <c r="D24" t="s">
        <v>61</v>
      </c>
      <c r="E24" s="6">
        <v>18</v>
      </c>
      <c r="F24" s="7">
        <f>SUMIFS(Movimentacoes!$H:$H, Movimentacoes!$D:$D, A24)</f>
        <v>27</v>
      </c>
      <c r="G24" s="7">
        <f t="shared" ca="1" si="5"/>
        <v>14.96</v>
      </c>
      <c r="H24" s="7">
        <f t="shared" ca="1" si="6"/>
        <v>124.48000000000002</v>
      </c>
      <c r="I24" t="s">
        <v>156</v>
      </c>
      <c r="J24" t="s">
        <v>73</v>
      </c>
      <c r="K24" s="32">
        <f ca="1">AVERAGEIFS(Pedidos!$O:$O,Pedidos!$A:$A,A24,Pedidos!$L:$L,"Recebido")</f>
        <v>7</v>
      </c>
      <c r="L24" s="7">
        <f>ROUND(ABS(SUMIFS(Movimentacoes!$H:$H,Movimentacoes!$D:$D,A24,Movimentacoes!$C:$C,"261"))/MAX(1,DATEDIF(_xlfn.MINIFS(Movimentacoes!$A:$A,Movimentacoes!$D:$D,A24,Movimentacoes!$C:$C,"261"),_xlfn.MAXIFS(Movimentacoes!$A:$A,Movimentacoes!$D:$D,A24,Movimentacoes!$C:$C,"261"),"d")),1)</f>
        <v>2.1</v>
      </c>
      <c r="M24">
        <f t="shared" ca="1" si="7"/>
        <v>27.46</v>
      </c>
      <c r="N24">
        <f t="shared" ca="1" si="8"/>
        <v>106.54000000000002</v>
      </c>
      <c r="O24" s="6">
        <f t="shared" si="0"/>
        <v>486</v>
      </c>
      <c r="P24" s="7">
        <f t="shared" si="9"/>
        <v>12.9</v>
      </c>
      <c r="Q24" s="8">
        <f>IFERROR(_xlfn.MAXIFS(Movimentacoes!$A:$A,Movimentacoes!$D:$D,A24),"")</f>
        <v>46250</v>
      </c>
      <c r="S24" s="7">
        <f t="shared" ca="1" si="10"/>
        <v>9</v>
      </c>
      <c r="T24" t="str">
        <f t="shared" ca="1" si="1"/>
        <v>Ponto de Reposicao</v>
      </c>
      <c r="U24" t="str">
        <f t="shared" ca="1" si="2"/>
        <v>Baixo</v>
      </c>
      <c r="V24" s="9">
        <f t="shared" si="3"/>
        <v>0.99999250533842832</v>
      </c>
      <c r="W24" t="str">
        <f t="shared" si="4"/>
        <v>C</v>
      </c>
    </row>
    <row r="25" spans="1:23" ht="15" hidden="1" customHeight="1" x14ac:dyDescent="0.25">
      <c r="A25">
        <v>2005</v>
      </c>
      <c r="B25" t="s">
        <v>71</v>
      </c>
      <c r="C25" t="s">
        <v>67</v>
      </c>
      <c r="D25" t="s">
        <v>61</v>
      </c>
      <c r="E25" s="6">
        <v>3450</v>
      </c>
      <c r="F25" s="7">
        <f>SUMIFS(Movimentacoes!$H:$H, Movimentacoes!$D:$D, A25)</f>
        <v>28</v>
      </c>
      <c r="G25" s="7">
        <f t="shared" ca="1" si="5"/>
        <v>19.635000000000002</v>
      </c>
      <c r="H25" s="7">
        <f t="shared" ca="1" si="6"/>
        <v>122.95500000000001</v>
      </c>
      <c r="I25" t="s">
        <v>72</v>
      </c>
      <c r="J25" t="s">
        <v>73</v>
      </c>
      <c r="K25" s="32">
        <f ca="1">AVERAGEIFS(Pedidos!$O:$O,Pedidos!$A:$A,A25,Pedidos!$L:$L,"Recebido")</f>
        <v>4.5</v>
      </c>
      <c r="L25" s="7">
        <f>ROUND(ABS(SUMIFS(Movimentacoes!$H:$H,Movimentacoes!$D:$D,A25,Movimentacoes!$C:$C,"261"))/MAX(1,DATEDIF(_xlfn.MINIFS(Movimentacoes!$A:$A,Movimentacoes!$D:$D,A25,Movimentacoes!$C:$C,"261"),_xlfn.MAXIFS(Movimentacoes!$A:$A,Movimentacoes!$D:$D,A25,Movimentacoes!$C:$C,"261"),"d")),1)</f>
        <v>2.1</v>
      </c>
      <c r="M25">
        <f t="shared" ca="1" si="7"/>
        <v>27.86</v>
      </c>
      <c r="N25">
        <f t="shared" ca="1" si="8"/>
        <v>90.720000000000013</v>
      </c>
      <c r="O25" s="6">
        <f t="shared" si="0"/>
        <v>96600</v>
      </c>
      <c r="P25" s="7">
        <f t="shared" si="9"/>
        <v>13.3</v>
      </c>
      <c r="Q25" s="8">
        <f>IFERROR(_xlfn.MAXIFS(Movimentacoes!$A:$A,Movimentacoes!$D:$D,A25),"")</f>
        <v>46252</v>
      </c>
      <c r="S25" s="7">
        <f t="shared" ca="1" si="10"/>
        <v>7</v>
      </c>
      <c r="T25" t="str">
        <f t="shared" ca="1" si="1"/>
        <v>Normal</v>
      </c>
      <c r="U25" t="str">
        <f t="shared" ca="1" si="2"/>
        <v>Baixo</v>
      </c>
      <c r="V25" s="9">
        <f t="shared" si="3"/>
        <v>0.97094969937149866</v>
      </c>
      <c r="W25" t="str">
        <f t="shared" si="4"/>
        <v>C</v>
      </c>
    </row>
    <row r="26" spans="1:23" ht="15" hidden="1" customHeight="1" x14ac:dyDescent="0.25">
      <c r="A26">
        <v>2361</v>
      </c>
      <c r="B26" t="s">
        <v>99</v>
      </c>
      <c r="C26" t="s">
        <v>89</v>
      </c>
      <c r="D26" t="s">
        <v>61</v>
      </c>
      <c r="E26" s="6">
        <v>68</v>
      </c>
      <c r="F26" s="7">
        <f>SUMIFS(Movimentacoes!$H:$H, Movimentacoes!$D:$D, A26)</f>
        <v>33</v>
      </c>
      <c r="G26" s="7">
        <f t="shared" ca="1" si="5"/>
        <v>13.860000000000003</v>
      </c>
      <c r="H26" s="7">
        <f t="shared" ca="1" si="6"/>
        <v>120.40000000000002</v>
      </c>
      <c r="I26" t="s">
        <v>100</v>
      </c>
      <c r="J26" t="s">
        <v>73</v>
      </c>
      <c r="K26" s="32">
        <f ca="1">AVERAGEIFS(Pedidos!$O:$O,Pedidos!$A:$A,A26,Pedidos!$L:$L,"Recebido")</f>
        <v>8</v>
      </c>
      <c r="L26" s="7">
        <f>ROUND(ABS(SUMIFS(Movimentacoes!$H:$H,Movimentacoes!$D:$D,A26,Movimentacoes!$C:$C,"261"))/MAX(1,DATEDIF(_xlfn.MINIFS(Movimentacoes!$A:$A,Movimentacoes!$D:$D,A26,Movimentacoes!$C:$C,"261"),_xlfn.MAXIFS(Movimentacoes!$A:$A,Movimentacoes!$D:$D,A26,Movimentacoes!$C:$C,"261"),"d")),1)</f>
        <v>1.7</v>
      </c>
      <c r="M26">
        <f t="shared" ca="1" si="7"/>
        <v>28</v>
      </c>
      <c r="N26">
        <f t="shared" ca="1" si="8"/>
        <v>74.06</v>
      </c>
      <c r="O26" s="6">
        <f t="shared" si="0"/>
        <v>2244</v>
      </c>
      <c r="P26" s="7">
        <f t="shared" si="9"/>
        <v>19.399999999999999</v>
      </c>
      <c r="Q26" s="8">
        <f>IFERROR(_xlfn.MAXIFS(Movimentacoes!$A:$A,Movimentacoes!$D:$D,A26),"")</f>
        <v>46256</v>
      </c>
      <c r="S26" s="7">
        <f t="shared" ca="1" si="10"/>
        <v>3</v>
      </c>
      <c r="T26" t="str">
        <f t="shared" ca="1" si="1"/>
        <v>Normal</v>
      </c>
      <c r="U26" t="str">
        <f t="shared" ca="1" si="2"/>
        <v>Baixo</v>
      </c>
      <c r="V26" s="9">
        <f t="shared" si="3"/>
        <v>0.99970560001655751</v>
      </c>
      <c r="W26" t="str">
        <f t="shared" si="4"/>
        <v>C</v>
      </c>
    </row>
    <row r="27" spans="1:23" ht="15" hidden="1" customHeight="1" x14ac:dyDescent="0.25">
      <c r="A27">
        <v>4001</v>
      </c>
      <c r="B27" t="s">
        <v>111</v>
      </c>
      <c r="C27" t="s">
        <v>112</v>
      </c>
      <c r="D27" t="s">
        <v>61</v>
      </c>
      <c r="E27" s="6">
        <v>3200</v>
      </c>
      <c r="F27" s="7">
        <f>SUMIFS(Movimentacoes!$H:$H, Movimentacoes!$D:$D, A27)</f>
        <v>35</v>
      </c>
      <c r="G27" s="7">
        <f t="shared" ca="1" si="5"/>
        <v>10.010000000000002</v>
      </c>
      <c r="H27" s="7">
        <f t="shared" ca="1" si="6"/>
        <v>100.73000000000002</v>
      </c>
      <c r="I27" t="s">
        <v>113</v>
      </c>
      <c r="J27" t="s">
        <v>63</v>
      </c>
      <c r="K27" s="32">
        <f ca="1">AVERAGEIFS(Pedidos!$O:$O,Pedidos!$A:$A,A27,Pedidos!$L:$L,"Recebido")</f>
        <v>10.5</v>
      </c>
      <c r="L27" s="7">
        <f>ROUND(ABS(SUMIFS(Movimentacoes!$H:$H,Movimentacoes!$D:$D,A27,Movimentacoes!$C:$C,"261"))/MAX(1,DATEDIF(_xlfn.MINIFS(Movimentacoes!$A:$A,Movimentacoes!$D:$D,A27,Movimentacoes!$C:$C,"261"),_xlfn.MAXIFS(Movimentacoes!$A:$A,Movimentacoes!$D:$D,A27,Movimentacoes!$C:$C,"261"),"d")),1)</f>
        <v>1.7</v>
      </c>
      <c r="M27">
        <f t="shared" ca="1" si="7"/>
        <v>22.19</v>
      </c>
      <c r="N27">
        <f t="shared" ca="1" si="8"/>
        <v>85.050000000000011</v>
      </c>
      <c r="O27" s="6">
        <f t="shared" si="0"/>
        <v>112000</v>
      </c>
      <c r="P27" s="7">
        <f t="shared" si="9"/>
        <v>20.6</v>
      </c>
      <c r="Q27" s="8">
        <f>IFERROR(_xlfn.MAXIFS(Movimentacoes!$A:$A,Movimentacoes!$D:$D,A27),"")</f>
        <v>46256</v>
      </c>
      <c r="S27" s="7">
        <f t="shared" ca="1" si="10"/>
        <v>3</v>
      </c>
      <c r="T27" t="str">
        <f t="shared" ca="1" si="1"/>
        <v>Normal</v>
      </c>
      <c r="U27" t="str">
        <f t="shared" ca="1" si="2"/>
        <v>Baixo</v>
      </c>
      <c r="V27" s="9">
        <f t="shared" si="3"/>
        <v>0.96075044253680797</v>
      </c>
      <c r="W27" t="str">
        <f t="shared" si="4"/>
        <v>C</v>
      </c>
    </row>
    <row r="28" spans="1:23" ht="15" hidden="1" customHeight="1" x14ac:dyDescent="0.25">
      <c r="A28">
        <v>2007</v>
      </c>
      <c r="B28" t="s">
        <v>76</v>
      </c>
      <c r="C28" t="s">
        <v>67</v>
      </c>
      <c r="D28" t="s">
        <v>61</v>
      </c>
      <c r="E28" s="6">
        <v>1980</v>
      </c>
      <c r="F28" s="7">
        <f>SUMIFS(Movimentacoes!$H:$H, Movimentacoes!$D:$D, A28)</f>
        <v>38</v>
      </c>
      <c r="G28" s="7">
        <f t="shared" ca="1" si="5"/>
        <v>15.400000000000002</v>
      </c>
      <c r="H28" s="7">
        <f t="shared" ca="1" si="6"/>
        <v>89.460000000000008</v>
      </c>
      <c r="I28" t="s">
        <v>77</v>
      </c>
      <c r="J28" t="s">
        <v>73</v>
      </c>
      <c r="K28" s="32">
        <f ca="1">AVERAGEIFS(Pedidos!$O:$O,Pedidos!$A:$A,A28,Pedidos!$L:$L,"Recebido")</f>
        <v>7</v>
      </c>
      <c r="L28" s="7">
        <f>ROUND(ABS(SUMIFS(Movimentacoes!$H:$H,Movimentacoes!$D:$D,A28,Movimentacoes!$C:$C,"261"))/MAX(1,DATEDIF(_xlfn.MINIFS(Movimentacoes!$A:$A,Movimentacoes!$D:$D,A28,Movimentacoes!$C:$C,"261"),_xlfn.MAXIFS(Movimentacoes!$A:$A,Movimentacoes!$D:$D,A28,Movimentacoes!$C:$C,"261"),"d")),1)</f>
        <v>1.8</v>
      </c>
      <c r="M28">
        <f t="shared" ca="1" si="7"/>
        <v>24.78</v>
      </c>
      <c r="N28">
        <f t="shared" ca="1" si="8"/>
        <v>96.04000000000002</v>
      </c>
      <c r="O28" s="6">
        <f t="shared" si="0"/>
        <v>75240</v>
      </c>
      <c r="P28" s="7">
        <f t="shared" si="9"/>
        <v>21.1</v>
      </c>
      <c r="Q28" s="8">
        <f>IFERROR(_xlfn.MAXIFS(Movimentacoes!$A:$A,Movimentacoes!$D:$D,A28),"")</f>
        <v>46249</v>
      </c>
      <c r="S28" s="7">
        <f t="shared" ca="1" si="10"/>
        <v>10</v>
      </c>
      <c r="T28" t="str">
        <f t="shared" ca="1" si="1"/>
        <v>Normal</v>
      </c>
      <c r="U28" t="str">
        <f t="shared" ca="1" si="2"/>
        <v>Baixo</v>
      </c>
      <c r="V28" s="9">
        <f t="shared" si="3"/>
        <v>0.98330947261187274</v>
      </c>
      <c r="W28" t="str">
        <f t="shared" si="4"/>
        <v>C</v>
      </c>
    </row>
    <row r="29" spans="1:23" ht="15" hidden="1" customHeight="1" x14ac:dyDescent="0.25">
      <c r="A29">
        <v>2006</v>
      </c>
      <c r="B29" t="s">
        <v>74</v>
      </c>
      <c r="C29" t="s">
        <v>67</v>
      </c>
      <c r="D29" t="s">
        <v>61</v>
      </c>
      <c r="E29" s="6">
        <v>2870</v>
      </c>
      <c r="F29" s="7">
        <f>SUMIFS(Movimentacoes!$H:$H, Movimentacoes!$D:$D, A29)</f>
        <v>40</v>
      </c>
      <c r="G29" s="7">
        <f t="shared" ca="1" si="5"/>
        <v>13.090000000000002</v>
      </c>
      <c r="H29" s="7">
        <f t="shared" ca="1" si="6"/>
        <v>98.140000000000015</v>
      </c>
      <c r="I29" t="s">
        <v>75</v>
      </c>
      <c r="J29" t="s">
        <v>73</v>
      </c>
      <c r="K29" s="32">
        <f ca="1">AVERAGEIFS(Pedidos!$O:$O,Pedidos!$A:$A,A29,Pedidos!$L:$L,"Recebido")</f>
        <v>7</v>
      </c>
      <c r="L29" s="7">
        <f>ROUND(ABS(SUMIFS(Movimentacoes!$H:$H,Movimentacoes!$D:$D,A29,Movimentacoes!$C:$C,"261"))/MAX(1,DATEDIF(_xlfn.MINIFS(Movimentacoes!$A:$A,Movimentacoes!$D:$D,A29,Movimentacoes!$C:$C,"261"),_xlfn.MAXIFS(Movimentacoes!$A:$A,Movimentacoes!$D:$D,A29,Movimentacoes!$C:$C,"261"),"d")),1)</f>
        <v>1.3</v>
      </c>
      <c r="M29">
        <f t="shared" ca="1" si="7"/>
        <v>24.220000000000002</v>
      </c>
      <c r="N29">
        <f t="shared" ca="1" si="8"/>
        <v>112.07000000000001</v>
      </c>
      <c r="O29" s="6">
        <f t="shared" si="0"/>
        <v>114800</v>
      </c>
      <c r="P29" s="7">
        <f t="shared" si="9"/>
        <v>30.8</v>
      </c>
      <c r="Q29" s="8">
        <f>IFERROR(_xlfn.MAXIFS(Movimentacoes!$A:$A,Movimentacoes!$D:$D,A29),"")</f>
        <v>46257</v>
      </c>
      <c r="S29" s="7">
        <f t="shared" ca="1" si="10"/>
        <v>2</v>
      </c>
      <c r="T29" t="str">
        <f t="shared" ca="1" si="1"/>
        <v>Normal</v>
      </c>
      <c r="U29" t="str">
        <f t="shared" ca="1" si="2"/>
        <v>Baixo</v>
      </c>
      <c r="V29" s="9">
        <f t="shared" si="3"/>
        <v>0.95522078446010472</v>
      </c>
      <c r="W29" t="str">
        <f t="shared" si="4"/>
        <v>C</v>
      </c>
    </row>
    <row r="30" spans="1:23" ht="15" hidden="1" customHeight="1" x14ac:dyDescent="0.25">
      <c r="A30">
        <v>2358</v>
      </c>
      <c r="B30" t="s">
        <v>93</v>
      </c>
      <c r="C30" t="s">
        <v>89</v>
      </c>
      <c r="D30" t="s">
        <v>61</v>
      </c>
      <c r="E30" s="6">
        <v>890</v>
      </c>
      <c r="F30" s="7">
        <f>SUMIFS(Movimentacoes!$H:$H, Movimentacoes!$D:$D, A30)</f>
        <v>47</v>
      </c>
      <c r="G30" s="7">
        <f t="shared" ca="1" si="5"/>
        <v>10.780000000000001</v>
      </c>
      <c r="H30" s="7">
        <f t="shared" ca="1" si="6"/>
        <v>106.82000000000002</v>
      </c>
      <c r="I30" t="s">
        <v>94</v>
      </c>
      <c r="J30" t="s">
        <v>63</v>
      </c>
      <c r="K30" s="32">
        <f ca="1">AVERAGEIFS(Pedidos!$O:$O,Pedidos!$A:$A,A30,Pedidos!$L:$L,"Recebido")</f>
        <v>7</v>
      </c>
      <c r="L30" s="7">
        <f>ROUND(ABS(SUMIFS(Movimentacoes!$H:$H,Movimentacoes!$D:$D,A30,Movimentacoes!$C:$C,"261"))/MAX(1,DATEDIF(_xlfn.MINIFS(Movimentacoes!$A:$A,Movimentacoes!$D:$D,A30,Movimentacoes!$C:$C,"261"),_xlfn.MAXIFS(Movimentacoes!$A:$A,Movimentacoes!$D:$D,A30,Movimentacoes!$C:$C,"261"),"d")),1)</f>
        <v>2</v>
      </c>
      <c r="M30">
        <f t="shared" ca="1" si="7"/>
        <v>23.660000000000004</v>
      </c>
      <c r="N30">
        <f t="shared" ca="1" si="8"/>
        <v>109.62</v>
      </c>
      <c r="O30" s="6">
        <f t="shared" si="0"/>
        <v>41830</v>
      </c>
      <c r="P30" s="7">
        <f t="shared" si="9"/>
        <v>23.5</v>
      </c>
      <c r="Q30" s="8">
        <f>IFERROR(_xlfn.MAXIFS(Movimentacoes!$A:$A,Movimentacoes!$D:$D,A30),"")</f>
        <v>46255</v>
      </c>
      <c r="S30" s="7">
        <f t="shared" ca="1" si="10"/>
        <v>4</v>
      </c>
      <c r="T30" t="str">
        <f t="shared" ca="1" si="1"/>
        <v>Normal</v>
      </c>
      <c r="U30" t="str">
        <f t="shared" ca="1" si="2"/>
        <v>Baixo</v>
      </c>
      <c r="V30" s="9">
        <f t="shared" si="3"/>
        <v>0.99402565373284091</v>
      </c>
      <c r="W30" t="str">
        <f t="shared" si="4"/>
        <v>C</v>
      </c>
    </row>
    <row r="31" spans="1:23" ht="15" hidden="1" customHeight="1" x14ac:dyDescent="0.25">
      <c r="A31">
        <v>7002</v>
      </c>
      <c r="B31" t="s">
        <v>143</v>
      </c>
      <c r="C31" t="s">
        <v>141</v>
      </c>
      <c r="D31" t="s">
        <v>61</v>
      </c>
      <c r="E31" s="6">
        <v>95</v>
      </c>
      <c r="F31" s="7">
        <f>SUMIFS(Movimentacoes!$H:$H, Movimentacoes!$D:$D, A31)</f>
        <v>51</v>
      </c>
      <c r="G31" s="7">
        <f t="shared" ca="1" si="5"/>
        <v>12.320000000000002</v>
      </c>
      <c r="H31" s="7">
        <f t="shared" ca="1" si="6"/>
        <v>124.39000000000001</v>
      </c>
      <c r="I31" t="s">
        <v>144</v>
      </c>
      <c r="J31" t="s">
        <v>73</v>
      </c>
      <c r="K31" s="32">
        <f ca="1">AVERAGEIFS(Pedidos!$O:$O,Pedidos!$A:$A,A31,Pedidos!$L:$L,"Recebido")</f>
        <v>7</v>
      </c>
      <c r="L31" s="7">
        <f>ROUND(ABS(SUMIFS(Movimentacoes!$H:$H,Movimentacoes!$D:$D,A31,Movimentacoes!$C:$C,"261"))/MAX(1,DATEDIF(_xlfn.MINIFS(Movimentacoes!$A:$A,Movimentacoes!$D:$D,A31,Movimentacoes!$C:$C,"261"),_xlfn.MAXIFS(Movimentacoes!$A:$A,Movimentacoes!$D:$D,A31,Movimentacoes!$C:$C,"261"),"d")),1)</f>
        <v>1.7</v>
      </c>
      <c r="M31">
        <f t="shared" ca="1" si="7"/>
        <v>27.370000000000005</v>
      </c>
      <c r="N31">
        <f t="shared" ca="1" si="8"/>
        <v>106.33000000000003</v>
      </c>
      <c r="O31" s="6">
        <f t="shared" si="0"/>
        <v>4845</v>
      </c>
      <c r="P31" s="7">
        <f t="shared" si="9"/>
        <v>30</v>
      </c>
      <c r="Q31" s="8">
        <f>IFERROR(_xlfn.MAXIFS(Movimentacoes!$A:$A,Movimentacoes!$D:$D,A31),"")</f>
        <v>46250</v>
      </c>
      <c r="S31" s="7">
        <f t="shared" ca="1" si="10"/>
        <v>9</v>
      </c>
      <c r="T31" t="str">
        <f t="shared" ca="1" si="1"/>
        <v>Normal</v>
      </c>
      <c r="U31" t="str">
        <f t="shared" ca="1" si="2"/>
        <v>Baixo</v>
      </c>
      <c r="V31" s="9">
        <f t="shared" si="3"/>
        <v>0.99935165252770131</v>
      </c>
      <c r="W31" t="str">
        <f t="shared" si="4"/>
        <v>C</v>
      </c>
    </row>
    <row r="32" spans="1:23" ht="15" hidden="1" customHeight="1" x14ac:dyDescent="0.25">
      <c r="A32">
        <v>8001</v>
      </c>
      <c r="B32" t="s">
        <v>147</v>
      </c>
      <c r="C32" t="s">
        <v>148</v>
      </c>
      <c r="D32" t="s">
        <v>149</v>
      </c>
      <c r="E32" s="6">
        <v>28</v>
      </c>
      <c r="F32" s="7">
        <f>SUMIFS(Movimentacoes!$H:$H, Movimentacoes!$D:$D, A32)</f>
        <v>55</v>
      </c>
      <c r="G32" s="7">
        <f t="shared" ca="1" si="5"/>
        <v>13.860000000000003</v>
      </c>
      <c r="H32" s="7">
        <f t="shared" ca="1" si="6"/>
        <v>123.48</v>
      </c>
      <c r="I32" t="s">
        <v>150</v>
      </c>
      <c r="J32" t="s">
        <v>73</v>
      </c>
      <c r="K32" s="32">
        <f ca="1">AVERAGEIFS(Pedidos!$O:$O,Pedidos!$A:$A,A32,Pedidos!$L:$L,"Recebido")</f>
        <v>7</v>
      </c>
      <c r="L32" s="7">
        <f>ROUND(ABS(SUMIFS(Movimentacoes!$H:$H,Movimentacoes!$D:$D,A32,Movimentacoes!$C:$C,"261"))/MAX(1,DATEDIF(_xlfn.MINIFS(Movimentacoes!$A:$A,Movimentacoes!$D:$D,A32,Movimentacoes!$C:$C,"261"),_xlfn.MAXIFS(Movimentacoes!$A:$A,Movimentacoes!$D:$D,A32,Movimentacoes!$C:$C,"261"),"d")),1)</f>
        <v>1.4</v>
      </c>
      <c r="M32">
        <f t="shared" ca="1" si="7"/>
        <v>28.44</v>
      </c>
      <c r="N32">
        <f t="shared" ca="1" si="8"/>
        <v>93.6</v>
      </c>
      <c r="O32" s="6">
        <f t="shared" si="0"/>
        <v>1540</v>
      </c>
      <c r="P32" s="7">
        <f t="shared" si="9"/>
        <v>39.299999999999997</v>
      </c>
      <c r="Q32" s="8">
        <f>IFERROR(_xlfn.MAXIFS(Movimentacoes!$A:$A,Movimentacoes!$D:$D,A32),"")</f>
        <v>46257</v>
      </c>
      <c r="S32" s="7">
        <f t="shared" ca="1" si="10"/>
        <v>2</v>
      </c>
      <c r="T32" t="str">
        <f t="shared" ca="1" si="1"/>
        <v>Normal</v>
      </c>
      <c r="U32" t="str">
        <f t="shared" ca="1" si="2"/>
        <v>Baixo</v>
      </c>
      <c r="V32" s="9">
        <f t="shared" si="3"/>
        <v>0.99978163281511212</v>
      </c>
      <c r="W32" t="str">
        <f t="shared" si="4"/>
        <v>C</v>
      </c>
    </row>
    <row r="33" spans="1:23" ht="15" hidden="1" customHeight="1" x14ac:dyDescent="0.25">
      <c r="A33">
        <v>9004</v>
      </c>
      <c r="B33" t="s">
        <v>161</v>
      </c>
      <c r="C33" t="s">
        <v>155</v>
      </c>
      <c r="D33" t="s">
        <v>61</v>
      </c>
      <c r="E33" s="6">
        <v>45</v>
      </c>
      <c r="F33" s="7">
        <f>SUMIFS(Movimentacoes!$H:$H, Movimentacoes!$D:$D, A33)</f>
        <v>55</v>
      </c>
      <c r="G33" s="7">
        <f t="shared" ca="1" si="5"/>
        <v>16.170000000000002</v>
      </c>
      <c r="H33" s="7">
        <f t="shared" ca="1" si="6"/>
        <v>122.50000000000003</v>
      </c>
      <c r="I33" t="s">
        <v>162</v>
      </c>
      <c r="J33" t="s">
        <v>73</v>
      </c>
      <c r="K33" s="32">
        <f ca="1">AVERAGEIFS(Pedidos!$O:$O,Pedidos!$A:$A,A33,Pedidos!$L:$L,"Recebido")</f>
        <v>7</v>
      </c>
      <c r="L33" s="7">
        <f>ROUND(ABS(SUMIFS(Movimentacoes!$H:$H,Movimentacoes!$D:$D,A33,Movimentacoes!$C:$C,"261"))/MAX(1,DATEDIF(_xlfn.MINIFS(Movimentacoes!$A:$A,Movimentacoes!$D:$D,A33,Movimentacoes!$C:$C,"261"),_xlfn.MAXIFS(Movimentacoes!$A:$A,Movimentacoes!$D:$D,A33,Movimentacoes!$C:$C,"261"),"d")),1)</f>
        <v>1.6</v>
      </c>
      <c r="M33">
        <f t="shared" ca="1" si="7"/>
        <v>30.1</v>
      </c>
      <c r="N33">
        <f t="shared" ca="1" si="8"/>
        <v>84.84</v>
      </c>
      <c r="O33" s="6">
        <f t="shared" si="0"/>
        <v>2475</v>
      </c>
      <c r="P33" s="7">
        <f t="shared" si="9"/>
        <v>34.4</v>
      </c>
      <c r="Q33" s="8">
        <f>IFERROR(_xlfn.MAXIFS(Movimentacoes!$A:$A,Movimentacoes!$D:$D,A33),"")</f>
        <v>46256</v>
      </c>
      <c r="S33" s="7">
        <f t="shared" ca="1" si="10"/>
        <v>3</v>
      </c>
      <c r="T33" t="str">
        <f t="shared" ca="1" si="1"/>
        <v>Normal</v>
      </c>
      <c r="U33" t="str">
        <f t="shared" ca="1" si="2"/>
        <v>Baixo</v>
      </c>
      <c r="V33" s="9">
        <f t="shared" si="3"/>
        <v>0.99947384809680706</v>
      </c>
      <c r="W33" t="str">
        <f t="shared" si="4"/>
        <v>C</v>
      </c>
    </row>
    <row r="34" spans="1:23" ht="15" hidden="1" customHeight="1" x14ac:dyDescent="0.25">
      <c r="A34">
        <v>7001</v>
      </c>
      <c r="B34" t="s">
        <v>140</v>
      </c>
      <c r="C34" t="s">
        <v>141</v>
      </c>
      <c r="D34" t="s">
        <v>61</v>
      </c>
      <c r="E34" s="6">
        <v>210</v>
      </c>
      <c r="F34" s="7">
        <f>SUMIFS(Movimentacoes!$H:$H, Movimentacoes!$D:$D, A34)</f>
        <v>70</v>
      </c>
      <c r="G34" s="7">
        <f t="shared" ca="1" si="5"/>
        <v>15.840000000000002</v>
      </c>
      <c r="H34" s="7">
        <f t="shared" ca="1" si="6"/>
        <v>109.44</v>
      </c>
      <c r="I34" t="s">
        <v>142</v>
      </c>
      <c r="J34" t="s">
        <v>73</v>
      </c>
      <c r="K34" s="32">
        <f ca="1">AVERAGEIFS(Pedidos!$O:$O,Pedidos!$A:$A,A34,Pedidos!$L:$L,"Recebido")</f>
        <v>7</v>
      </c>
      <c r="L34" s="7">
        <f>ROUND(ABS(SUMIFS(Movimentacoes!$H:$H,Movimentacoes!$D:$D,A34,Movimentacoes!$C:$C,"261"))/MAX(1,DATEDIF(_xlfn.MINIFS(Movimentacoes!$A:$A,Movimentacoes!$D:$D,A34,Movimentacoes!$C:$C,"261"),_xlfn.MAXIFS(Movimentacoes!$A:$A,Movimentacoes!$D:$D,A34,Movimentacoes!$C:$C,"261"),"d")),1)</f>
        <v>1.8</v>
      </c>
      <c r="M34">
        <f t="shared" ca="1" si="7"/>
        <v>24.96</v>
      </c>
      <c r="N34">
        <f t="shared" ca="1" si="8"/>
        <v>45.24</v>
      </c>
      <c r="O34" s="6">
        <f t="shared" si="0"/>
        <v>14700</v>
      </c>
      <c r="P34" s="7">
        <f t="shared" si="9"/>
        <v>38.9</v>
      </c>
      <c r="Q34" s="8">
        <f>IFERROR(_xlfn.MAXIFS(Movimentacoes!$A:$A,Movimentacoes!$D:$D,A34),"")</f>
        <v>46255</v>
      </c>
      <c r="S34" s="7">
        <f t="shared" ca="1" si="10"/>
        <v>4</v>
      </c>
      <c r="T34" t="str">
        <f t="shared" ca="1" si="1"/>
        <v>Normal</v>
      </c>
      <c r="U34" t="str">
        <f t="shared" ca="1" si="2"/>
        <v>Baixo</v>
      </c>
      <c r="V34" s="9">
        <f t="shared" si="3"/>
        <v>0.99722841194208867</v>
      </c>
      <c r="W34" t="str">
        <f t="shared" si="4"/>
        <v>C</v>
      </c>
    </row>
    <row r="35" spans="1:23" ht="15" hidden="1" customHeight="1" x14ac:dyDescent="0.25">
      <c r="A35">
        <v>4002</v>
      </c>
      <c r="B35" t="s">
        <v>114</v>
      </c>
      <c r="C35" t="s">
        <v>112</v>
      </c>
      <c r="D35" t="s">
        <v>61</v>
      </c>
      <c r="E35" s="6">
        <v>4100</v>
      </c>
      <c r="F35" s="7">
        <f>SUMIFS(Movimentacoes!$H:$H, Movimentacoes!$D:$D, A35)</f>
        <v>73</v>
      </c>
      <c r="G35" s="7">
        <f t="shared" ca="1" si="5"/>
        <v>15.400000000000002</v>
      </c>
      <c r="H35" s="7">
        <f t="shared" ca="1" si="6"/>
        <v>100.24000000000001</v>
      </c>
      <c r="I35" t="s">
        <v>115</v>
      </c>
      <c r="J35" t="s">
        <v>73</v>
      </c>
      <c r="K35" s="32">
        <f ca="1">AVERAGEIFS(Pedidos!$O:$O,Pedidos!$A:$A,A35,Pedidos!$L:$L,"Recebido")</f>
        <v>7</v>
      </c>
      <c r="L35" s="7">
        <f>ROUND(ABS(SUMIFS(Movimentacoes!$H:$H,Movimentacoes!$D:$D,A35,Movimentacoes!$C:$C,"261"))/MAX(1,DATEDIF(_xlfn.MINIFS(Movimentacoes!$A:$A,Movimentacoes!$D:$D,A35,Movimentacoes!$C:$C,"261"),_xlfn.MAXIFS(Movimentacoes!$A:$A,Movimentacoes!$D:$D,A35,Movimentacoes!$C:$C,"261"),"d")),1)</f>
        <v>2.1</v>
      </c>
      <c r="M35">
        <f t="shared" ca="1" si="7"/>
        <v>26.32</v>
      </c>
      <c r="N35">
        <f t="shared" ca="1" si="8"/>
        <v>142.87000000000003</v>
      </c>
      <c r="O35" s="6">
        <f t="shared" si="0"/>
        <v>299300</v>
      </c>
      <c r="P35" s="7">
        <f t="shared" si="9"/>
        <v>34.799999999999997</v>
      </c>
      <c r="Q35" s="8">
        <f>IFERROR(_xlfn.MAXIFS(Movimentacoes!$A:$A,Movimentacoes!$D:$D,A35),"")</f>
        <v>46257</v>
      </c>
      <c r="S35" s="7">
        <f t="shared" ca="1" si="10"/>
        <v>2</v>
      </c>
      <c r="T35" t="str">
        <f t="shared" ca="1" si="1"/>
        <v>Normal</v>
      </c>
      <c r="U35" t="str">
        <f t="shared" ca="1" si="2"/>
        <v>Baixo</v>
      </c>
      <c r="V35" s="9">
        <f t="shared" si="3"/>
        <v>0.9281822376234391</v>
      </c>
      <c r="W35" t="str">
        <f t="shared" si="4"/>
        <v>C</v>
      </c>
    </row>
    <row r="36" spans="1:23" ht="15" hidden="1" customHeight="1" x14ac:dyDescent="0.25">
      <c r="A36">
        <v>2012</v>
      </c>
      <c r="B36" t="s">
        <v>86</v>
      </c>
      <c r="C36" t="s">
        <v>60</v>
      </c>
      <c r="D36" t="s">
        <v>61</v>
      </c>
      <c r="E36" s="6">
        <v>5400</v>
      </c>
      <c r="F36" s="7">
        <f>SUMIFS(Movimentacoes!$H:$H, Movimentacoes!$D:$D, A36)</f>
        <v>74</v>
      </c>
      <c r="G36" s="7">
        <f t="shared" ca="1" si="5"/>
        <v>10.56</v>
      </c>
      <c r="H36" s="7">
        <f t="shared" ca="1" si="6"/>
        <v>55.800000000000004</v>
      </c>
      <c r="I36" t="s">
        <v>87</v>
      </c>
      <c r="J36" t="s">
        <v>73</v>
      </c>
      <c r="K36" s="32">
        <f ca="1">AVERAGEIFS(Pedidos!$O:$O,Pedidos!$A:$A,A36,Pedidos!$L:$L,"Recebido")</f>
        <v>9</v>
      </c>
      <c r="L36" s="7">
        <f>ROUND(ABS(SUMIFS(Movimentacoes!$H:$H,Movimentacoes!$D:$D,A36,Movimentacoes!$C:$C,"261"))/MAX(1,DATEDIF(_xlfn.MINIFS(Movimentacoes!$A:$A,Movimentacoes!$D:$D,A36,Movimentacoes!$C:$C,"261"),_xlfn.MAXIFS(Movimentacoes!$A:$A,Movimentacoes!$D:$D,A36,Movimentacoes!$C:$C,"261"),"d")),1)</f>
        <v>1.6</v>
      </c>
      <c r="M36">
        <f t="shared" ca="1" si="7"/>
        <v>21.15</v>
      </c>
      <c r="N36">
        <f t="shared" ca="1" si="8"/>
        <v>31.675000000000008</v>
      </c>
      <c r="O36" s="6">
        <f t="shared" si="0"/>
        <v>399600</v>
      </c>
      <c r="P36" s="7">
        <f t="shared" si="9"/>
        <v>46.3</v>
      </c>
      <c r="Q36" s="8">
        <f>IFERROR(_xlfn.MAXIFS(Movimentacoes!$A:$A,Movimentacoes!$D:$D,A36),"")</f>
        <v>46253</v>
      </c>
      <c r="S36" s="7">
        <f t="shared" ca="1" si="10"/>
        <v>6</v>
      </c>
      <c r="T36" t="str">
        <f t="shared" ca="1" si="1"/>
        <v>Normal</v>
      </c>
      <c r="U36" t="str">
        <f t="shared" ca="1" si="2"/>
        <v>Baixo</v>
      </c>
      <c r="V36" s="9">
        <f t="shared" si="3"/>
        <v>0.87484572315680942</v>
      </c>
      <c r="W36" t="str">
        <f t="shared" si="4"/>
        <v>B</v>
      </c>
    </row>
    <row r="37" spans="1:23" ht="15" hidden="1" customHeight="1" x14ac:dyDescent="0.25">
      <c r="A37">
        <v>5003</v>
      </c>
      <c r="B37" t="s">
        <v>121</v>
      </c>
      <c r="C37" t="s">
        <v>117</v>
      </c>
      <c r="D37" t="s">
        <v>61</v>
      </c>
      <c r="E37" s="6">
        <v>8900</v>
      </c>
      <c r="F37" s="7">
        <f>SUMIFS(Movimentacoes!$H:$H, Movimentacoes!$D:$D, A37)</f>
        <v>80</v>
      </c>
      <c r="G37" s="7">
        <f t="shared" ca="1" si="5"/>
        <v>12.320000000000002</v>
      </c>
      <c r="H37" s="7">
        <f t="shared" ca="1" si="6"/>
        <v>155.19000000000003</v>
      </c>
      <c r="I37" t="s">
        <v>122</v>
      </c>
      <c r="J37" t="s">
        <v>63</v>
      </c>
      <c r="K37" s="32">
        <f ca="1">AVERAGEIFS(Pedidos!$O:$O,Pedidos!$A:$A,A37,Pedidos!$L:$L,"Recebido")</f>
        <v>7</v>
      </c>
      <c r="L37" s="7">
        <f>ROUND(ABS(SUMIFS(Movimentacoes!$H:$H,Movimentacoes!$D:$D,A37,Movimentacoes!$C:$C,"261"))/MAX(1,DATEDIF(_xlfn.MINIFS(Movimentacoes!$A:$A,Movimentacoes!$D:$D,A37,Movimentacoes!$C:$C,"261"),_xlfn.MAXIFS(Movimentacoes!$A:$A,Movimentacoes!$D:$D,A37,Movimentacoes!$C:$C,"261"),"d")),1)</f>
        <v>2</v>
      </c>
      <c r="M37">
        <f t="shared" ca="1" si="7"/>
        <v>31.770000000000003</v>
      </c>
      <c r="N37">
        <f t="shared" ca="1" si="8"/>
        <v>37.399999999999991</v>
      </c>
      <c r="O37" s="6">
        <f t="shared" si="0"/>
        <v>712000</v>
      </c>
      <c r="P37" s="7">
        <f t="shared" si="9"/>
        <v>40</v>
      </c>
      <c r="Q37" s="8">
        <f>IFERROR(_xlfn.MAXIFS(Movimentacoes!$A:$A,Movimentacoes!$D:$D,A37),"")</f>
        <v>46249</v>
      </c>
      <c r="S37" s="7">
        <f t="shared" ca="1" si="10"/>
        <v>10</v>
      </c>
      <c r="T37" t="str">
        <f t="shared" ca="1" si="1"/>
        <v>Normal</v>
      </c>
      <c r="U37" t="str">
        <f t="shared" ca="1" si="2"/>
        <v>Baixo</v>
      </c>
      <c r="V37" s="9">
        <f t="shared" si="3"/>
        <v>0.76171533726058538</v>
      </c>
      <c r="W37" t="str">
        <f t="shared" si="4"/>
        <v>B</v>
      </c>
    </row>
    <row r="38" spans="1:23" ht="15" hidden="1" customHeight="1" x14ac:dyDescent="0.25">
      <c r="A38">
        <v>5001</v>
      </c>
      <c r="B38" t="s">
        <v>116</v>
      </c>
      <c r="C38" t="s">
        <v>117</v>
      </c>
      <c r="D38" t="s">
        <v>61</v>
      </c>
      <c r="E38" s="6">
        <v>32500</v>
      </c>
      <c r="F38" s="7">
        <f>SUMIFS(Movimentacoes!$H:$H, Movimentacoes!$D:$D, A38)</f>
        <v>85</v>
      </c>
      <c r="G38" s="7">
        <f t="shared" ca="1" si="5"/>
        <v>11.55</v>
      </c>
      <c r="H38" s="7">
        <f t="shared" ca="1" si="6"/>
        <v>43.225000000000009</v>
      </c>
      <c r="I38" t="s">
        <v>118</v>
      </c>
      <c r="J38" t="s">
        <v>63</v>
      </c>
      <c r="K38" s="32">
        <f ca="1">AVERAGEIFS(Pedidos!$O:$O,Pedidos!$A:$A,A38,Pedidos!$L:$L,"Recebido")</f>
        <v>4</v>
      </c>
      <c r="L38" s="7">
        <f>ROUND(ABS(SUMIFS(Movimentacoes!$H:$H,Movimentacoes!$D:$D,A38,Movimentacoes!$C:$C,"261"))/MAX(1,DATEDIF(_xlfn.MINIFS(Movimentacoes!$A:$A,Movimentacoes!$D:$D,A38,Movimentacoes!$C:$C,"261"),_xlfn.MAXIFS(Movimentacoes!$A:$A,Movimentacoes!$D:$D,A38,Movimentacoes!$C:$C,"261"),"d")),1)</f>
        <v>2.4</v>
      </c>
      <c r="M38">
        <f t="shared" ca="1" si="7"/>
        <v>15.175000000000001</v>
      </c>
      <c r="N38">
        <f t="shared" ca="1" si="8"/>
        <v>97.750000000000014</v>
      </c>
      <c r="O38" s="6">
        <f t="shared" si="0"/>
        <v>2762500</v>
      </c>
      <c r="P38" s="7">
        <f t="shared" si="9"/>
        <v>35.4</v>
      </c>
      <c r="Q38" s="8">
        <f>IFERROR(_xlfn.MAXIFS(Movimentacoes!$A:$A,Movimentacoes!$D:$D,A38),"")</f>
        <v>46249</v>
      </c>
      <c r="S38" s="7">
        <f t="shared" ca="1" si="10"/>
        <v>10</v>
      </c>
      <c r="T38" t="str">
        <f t="shared" ca="1" si="1"/>
        <v>Normal</v>
      </c>
      <c r="U38" t="str">
        <f t="shared" ca="1" si="2"/>
        <v>Baixo</v>
      </c>
      <c r="V38" s="9">
        <f t="shared" si="3"/>
        <v>0.64207723501534131</v>
      </c>
      <c r="W38" t="str">
        <f t="shared" si="4"/>
        <v>A</v>
      </c>
    </row>
    <row r="39" spans="1:23" ht="15" hidden="1" customHeight="1" x14ac:dyDescent="0.25">
      <c r="A39">
        <v>7003</v>
      </c>
      <c r="B39" t="s">
        <v>145</v>
      </c>
      <c r="C39" t="s">
        <v>141</v>
      </c>
      <c r="D39" t="s">
        <v>61</v>
      </c>
      <c r="E39" s="6">
        <v>130</v>
      </c>
      <c r="F39" s="7">
        <f>SUMIFS(Movimentacoes!$H:$H, Movimentacoes!$D:$D, A39)</f>
        <v>100</v>
      </c>
      <c r="G39" s="7">
        <f t="shared" ca="1" si="5"/>
        <v>20.570000000000004</v>
      </c>
      <c r="H39" s="7">
        <f t="shared" ca="1" si="6"/>
        <v>57.97</v>
      </c>
      <c r="I39" t="s">
        <v>146</v>
      </c>
      <c r="J39" t="s">
        <v>73</v>
      </c>
      <c r="K39" s="32">
        <f ca="1">AVERAGEIFS(Pedidos!$O:$O,Pedidos!$A:$A,A39,Pedidos!$L:$L,"Recebido")</f>
        <v>7</v>
      </c>
      <c r="L39" s="7">
        <f>ROUND(ABS(SUMIFS(Movimentacoes!$H:$H,Movimentacoes!$D:$D,A39,Movimentacoes!$C:$C,"261"))/MAX(1,DATEDIF(_xlfn.MINIFS(Movimentacoes!$A:$A,Movimentacoes!$D:$D,A39,Movimentacoes!$C:$C,"261"),_xlfn.MAXIFS(Movimentacoes!$A:$A,Movimentacoes!$D:$D,A39,Movimentacoes!$C:$C,"261"),"d")),1)</f>
        <v>1.6</v>
      </c>
      <c r="M39">
        <f t="shared" ca="1" si="7"/>
        <v>23.320000000000004</v>
      </c>
      <c r="N39">
        <f t="shared" ca="1" si="8"/>
        <v>85.82</v>
      </c>
      <c r="O39" s="6">
        <f t="shared" si="0"/>
        <v>13000</v>
      </c>
      <c r="P39" s="7">
        <f t="shared" si="9"/>
        <v>62.5</v>
      </c>
      <c r="Q39" s="8">
        <f>IFERROR(_xlfn.MAXIFS(Movimentacoes!$A:$A,Movimentacoes!$D:$D,A39),"")</f>
        <v>46252</v>
      </c>
      <c r="S39" s="7">
        <f t="shared" ca="1" si="10"/>
        <v>7</v>
      </c>
      <c r="T39" t="str">
        <f t="shared" ca="1" si="1"/>
        <v>Normal</v>
      </c>
      <c r="U39" t="str">
        <f t="shared" ca="1" si="2"/>
        <v>Baixo</v>
      </c>
      <c r="V39" s="9">
        <f t="shared" si="3"/>
        <v>0.99857527865934281</v>
      </c>
      <c r="W39" t="str">
        <f t="shared" si="4"/>
        <v>C</v>
      </c>
    </row>
    <row r="40" spans="1:23" ht="15" hidden="1" customHeight="1" x14ac:dyDescent="0.25">
      <c r="A40">
        <v>2356</v>
      </c>
      <c r="B40" t="s">
        <v>88</v>
      </c>
      <c r="C40" t="s">
        <v>89</v>
      </c>
      <c r="D40" t="s">
        <v>61</v>
      </c>
      <c r="E40" s="6">
        <v>145</v>
      </c>
      <c r="F40" s="7">
        <f>SUMIFS(Movimentacoes!$H:$H, Movimentacoes!$D:$D, A40)</f>
        <v>108</v>
      </c>
      <c r="G40" s="7">
        <f t="shared" ca="1" si="5"/>
        <v>4.6750000000000007</v>
      </c>
      <c r="H40" s="7">
        <f t="shared" ca="1" si="6"/>
        <v>102.42500000000001</v>
      </c>
      <c r="I40" t="s">
        <v>90</v>
      </c>
      <c r="J40" t="s">
        <v>73</v>
      </c>
      <c r="K40" s="32">
        <f ca="1">AVERAGEIFS(Pedidos!$O:$O,Pedidos!$A:$A,A40,Pedidos!$L:$L,"Recebido")</f>
        <v>7</v>
      </c>
      <c r="L40" s="7">
        <f>ROUND(ABS(SUMIFS(Movimentacoes!$H:$H,Movimentacoes!$D:$D,A40,Movimentacoes!$C:$C,"261"))/MAX(1,DATEDIF(_xlfn.MINIFS(Movimentacoes!$A:$A,Movimentacoes!$D:$D,A40,Movimentacoes!$C:$C,"261"),_xlfn.MAXIFS(Movimentacoes!$A:$A,Movimentacoes!$D:$D,A40,Movimentacoes!$C:$C,"261"),"d")),1)</f>
        <v>1.5</v>
      </c>
      <c r="M40">
        <f t="shared" ca="1" si="7"/>
        <v>15.8</v>
      </c>
      <c r="N40">
        <f t="shared" ca="1" si="8"/>
        <v>63.63000000000001</v>
      </c>
      <c r="O40" s="6">
        <f t="shared" si="0"/>
        <v>15660</v>
      </c>
      <c r="P40" s="7">
        <f t="shared" si="9"/>
        <v>72</v>
      </c>
      <c r="Q40" s="8">
        <f>IFERROR(_xlfn.MAXIFS(Movimentacoes!$A:$A,Movimentacoes!$D:$D,A40),"")</f>
        <v>46257</v>
      </c>
      <c r="S40" s="7">
        <f t="shared" ca="1" si="10"/>
        <v>2</v>
      </c>
      <c r="T40" t="str">
        <f t="shared" ca="1" si="1"/>
        <v>Normal</v>
      </c>
      <c r="U40" t="str">
        <f t="shared" ca="1" si="2"/>
        <v>Baixo</v>
      </c>
      <c r="V40" s="9">
        <f t="shared" si="3"/>
        <v>0.99576650858806015</v>
      </c>
      <c r="W40" t="str">
        <f t="shared" si="4"/>
        <v>C</v>
      </c>
    </row>
    <row r="41" spans="1:23" ht="15" hidden="1" customHeight="1" x14ac:dyDescent="0.25">
      <c r="A41">
        <v>9002</v>
      </c>
      <c r="B41" t="s">
        <v>157</v>
      </c>
      <c r="C41" t="s">
        <v>155</v>
      </c>
      <c r="D41" t="s">
        <v>61</v>
      </c>
      <c r="E41" s="6">
        <v>6.5</v>
      </c>
      <c r="F41" s="7">
        <f>SUMIFS(Movimentacoes!$H:$H, Movimentacoes!$D:$D, A41)</f>
        <v>119</v>
      </c>
      <c r="G41" s="7">
        <f t="shared" ca="1" si="5"/>
        <v>4.62</v>
      </c>
      <c r="H41" s="7">
        <f t="shared" ca="1" si="6"/>
        <v>90.44</v>
      </c>
      <c r="I41" t="s">
        <v>158</v>
      </c>
      <c r="J41" t="s">
        <v>73</v>
      </c>
      <c r="K41" s="32">
        <f ca="1">AVERAGEIFS(Pedidos!$O:$O,Pedidos!$A:$A,A41,Pedidos!$L:$L,"Recebido")</f>
        <v>8.5</v>
      </c>
      <c r="L41" s="7">
        <f>ROUND(ABS(SUMIFS(Movimentacoes!$H:$H,Movimentacoes!$D:$D,A41,Movimentacoes!$C:$C,"261"))/MAX(1,DATEDIF(_xlfn.MINIFS(Movimentacoes!$A:$A,Movimentacoes!$D:$D,A41,Movimentacoes!$C:$C,"261"),_xlfn.MAXIFS(Movimentacoes!$A:$A,Movimentacoes!$D:$D,A41,Movimentacoes!$C:$C,"261"),"d")),1)</f>
        <v>2.2000000000000002</v>
      </c>
      <c r="M41">
        <f t="shared" ca="1" si="7"/>
        <v>16.52</v>
      </c>
      <c r="N41">
        <f t="shared" ca="1" si="8"/>
        <v>-1.120000000000001</v>
      </c>
      <c r="O41" s="6">
        <f t="shared" si="0"/>
        <v>773.5</v>
      </c>
      <c r="P41" s="7">
        <f t="shared" si="9"/>
        <v>54.1</v>
      </c>
      <c r="Q41" s="8">
        <f>IFERROR(_xlfn.MAXIFS(Movimentacoes!$A:$A,Movimentacoes!$D:$D,A41),"")</f>
        <v>46251</v>
      </c>
      <c r="S41" s="7">
        <f t="shared" ca="1" si="10"/>
        <v>8</v>
      </c>
      <c r="T41" t="str">
        <f t="shared" ca="1" si="1"/>
        <v>Normal</v>
      </c>
      <c r="U41" t="str">
        <f t="shared" ca="1" si="2"/>
        <v>Baixo</v>
      </c>
      <c r="V41" s="9">
        <f t="shared" si="3"/>
        <v>0.99990286563124908</v>
      </c>
      <c r="W41" t="str">
        <f t="shared" si="4"/>
        <v>C</v>
      </c>
    </row>
    <row r="42" spans="1:23" ht="15" hidden="1" customHeight="1" x14ac:dyDescent="0.25">
      <c r="A42">
        <v>2002</v>
      </c>
      <c r="B42" t="s">
        <v>64</v>
      </c>
      <c r="C42" t="s">
        <v>60</v>
      </c>
      <c r="D42" t="s">
        <v>61</v>
      </c>
      <c r="E42" s="6">
        <v>19800</v>
      </c>
      <c r="F42" s="7">
        <f>SUMIFS(Movimentacoes!$H:$H, Movimentacoes!$D:$D, A42)</f>
        <v>308</v>
      </c>
      <c r="G42" s="7">
        <f t="shared" ca="1" si="5"/>
        <v>11.55</v>
      </c>
      <c r="H42" s="7">
        <f t="shared" ca="1" si="6"/>
        <v>75.180000000000007</v>
      </c>
      <c r="I42" t="s">
        <v>65</v>
      </c>
      <c r="J42" t="s">
        <v>63</v>
      </c>
      <c r="K42" s="32">
        <f ca="1">AVERAGEIFS(Pedidos!$O:$O,Pedidos!$A:$A,A42,Pedidos!$L:$L,"Recebido")</f>
        <v>8.5</v>
      </c>
      <c r="L42" s="7">
        <f>ROUND(ABS(SUMIFS(Movimentacoes!$H:$H,Movimentacoes!$D:$D,A42,Movimentacoes!$C:$C,"261"))/MAX(1,DATEDIF(_xlfn.MINIFS(Movimentacoes!$A:$A,Movimentacoes!$D:$D,A42,Movimentacoes!$C:$C,"261"),_xlfn.MAXIFS(Movimentacoes!$A:$A,Movimentacoes!$D:$D,A42,Movimentacoes!$C:$C,"261"),"d")),1)</f>
        <v>0.5</v>
      </c>
      <c r="M42">
        <f t="shared" ca="1" si="7"/>
        <v>19.740000000000002</v>
      </c>
      <c r="N42">
        <f t="shared" ca="1" si="8"/>
        <v>-0.83999999999999986</v>
      </c>
      <c r="O42" s="6">
        <f t="shared" si="0"/>
        <v>6098400</v>
      </c>
      <c r="P42" s="7">
        <f t="shared" si="9"/>
        <v>616</v>
      </c>
      <c r="Q42" s="8">
        <f>IFERROR(_xlfn.MAXIFS(Movimentacoes!$A:$A,Movimentacoes!$D:$D,A42),"")</f>
        <v>45977</v>
      </c>
      <c r="S42" s="7">
        <f t="shared" ca="1" si="10"/>
        <v>282</v>
      </c>
      <c r="T42" t="str">
        <f t="shared" ca="1" si="1"/>
        <v>Normal</v>
      </c>
      <c r="U42" t="str">
        <f t="shared" ca="1" si="2"/>
        <v>Baixo</v>
      </c>
      <c r="V42" s="9">
        <f t="shared" si="3"/>
        <v>0.30108988227649253</v>
      </c>
      <c r="W42" t="str">
        <f t="shared" si="4"/>
        <v>A</v>
      </c>
    </row>
    <row r="43" spans="1:23" ht="15" hidden="1" customHeight="1" x14ac:dyDescent="0.25">
      <c r="A43">
        <v>2003</v>
      </c>
      <c r="B43" t="s">
        <v>66</v>
      </c>
      <c r="C43" t="s">
        <v>67</v>
      </c>
      <c r="D43" t="s">
        <v>61</v>
      </c>
      <c r="E43" s="6">
        <v>12400</v>
      </c>
      <c r="F43" s="7">
        <f>SUMIFS(Movimentacoes!$H:$H, Movimentacoes!$D:$D, A43)</f>
        <v>138</v>
      </c>
      <c r="G43" s="7">
        <f t="shared" ca="1" si="5"/>
        <v>12.32</v>
      </c>
      <c r="H43" s="7">
        <f t="shared" ca="1" si="6"/>
        <v>11.2</v>
      </c>
      <c r="I43" t="s">
        <v>68</v>
      </c>
      <c r="J43" t="s">
        <v>63</v>
      </c>
      <c r="K43" s="32">
        <f ca="1">AVERAGEIFS(Pedidos!$O:$O,Pedidos!$A:$A,A43,Pedidos!$L:$L,"Recebido")</f>
        <v>7</v>
      </c>
      <c r="L43" s="7">
        <f>ROUND(ABS(SUMIFS(Movimentacoes!$H:$H,Movimentacoes!$D:$D,A43,Movimentacoes!$C:$C,"261"))/MAX(1,DATEDIF(_xlfn.MINIFS(Movimentacoes!$A:$A,Movimentacoes!$D:$D,A43,Movimentacoes!$C:$C,"261"),_xlfn.MAXIFS(Movimentacoes!$A:$A,Movimentacoes!$D:$D,A43,Movimentacoes!$C:$C,"261"),"d")),1)</f>
        <v>0.6</v>
      </c>
      <c r="M43">
        <f t="shared" ca="1" si="7"/>
        <v>11.2</v>
      </c>
      <c r="N43">
        <f t="shared" si="8"/>
        <v>0</v>
      </c>
      <c r="O43" s="6">
        <f t="shared" si="0"/>
        <v>1711200</v>
      </c>
      <c r="P43" s="7">
        <f t="shared" si="9"/>
        <v>230</v>
      </c>
      <c r="Q43" s="8">
        <f>IFERROR(_xlfn.MAXIFS(Movimentacoes!$A:$A,Movimentacoes!$D:$D,A43),"")</f>
        <v>46161</v>
      </c>
      <c r="S43" s="7">
        <f t="shared" ca="1" si="10"/>
        <v>98</v>
      </c>
      <c r="T43" t="str">
        <f t="shared" ca="1" si="1"/>
        <v>Normal</v>
      </c>
      <c r="U43" t="str">
        <f t="shared" ca="1" si="2"/>
        <v>Baixo</v>
      </c>
      <c r="V43" s="9">
        <f t="shared" si="3"/>
        <v>0.72656251091582902</v>
      </c>
      <c r="W43" t="str">
        <f t="shared" si="4"/>
        <v>B</v>
      </c>
    </row>
    <row r="44" spans="1:23" ht="15" hidden="1" customHeight="1" x14ac:dyDescent="0.25">
      <c r="A44">
        <v>3001</v>
      </c>
      <c r="B44" t="s">
        <v>101</v>
      </c>
      <c r="C44" t="s">
        <v>102</v>
      </c>
      <c r="D44" t="s">
        <v>103</v>
      </c>
      <c r="E44" s="6">
        <v>320</v>
      </c>
      <c r="F44" s="7">
        <f>SUMIFS(Movimentacoes!$H:$H, Movimentacoes!$D:$D, A44)</f>
        <v>199</v>
      </c>
      <c r="G44" s="7">
        <f t="shared" ca="1" si="5"/>
        <v>9.24</v>
      </c>
      <c r="H44" s="7">
        <f t="shared" ca="1" si="6"/>
        <v>8.4</v>
      </c>
      <c r="I44" t="s">
        <v>104</v>
      </c>
      <c r="J44" t="s">
        <v>63</v>
      </c>
      <c r="K44" s="32">
        <f ca="1">AVERAGEIFS(Pedidos!$O:$O,Pedidos!$A:$A,A44,Pedidos!$L:$L,"Recebido")</f>
        <v>7</v>
      </c>
      <c r="L44" s="7">
        <f>ROUND(ABS(SUMIFS(Movimentacoes!$H:$H,Movimentacoes!$D:$D,A44,Movimentacoes!$C:$C,"261"))/MAX(1,DATEDIF(_xlfn.MINIFS(Movimentacoes!$A:$A,Movimentacoes!$D:$D,A44,Movimentacoes!$C:$C,"261"),_xlfn.MAXIFS(Movimentacoes!$A:$A,Movimentacoes!$D:$D,A44,Movimentacoes!$C:$C,"261"),"d")),1)</f>
        <v>1.5</v>
      </c>
      <c r="M44">
        <f t="shared" ca="1" si="7"/>
        <v>8.4</v>
      </c>
      <c r="N44">
        <f t="shared" si="8"/>
        <v>0</v>
      </c>
      <c r="O44" s="6">
        <f t="shared" si="0"/>
        <v>63680</v>
      </c>
      <c r="P44" s="7">
        <f t="shared" si="9"/>
        <v>132.69999999999999</v>
      </c>
      <c r="Q44" s="8">
        <f>IFERROR(_xlfn.MAXIFS(Movimentacoes!$A:$A,Movimentacoes!$D:$D,A44),"")</f>
        <v>46257</v>
      </c>
      <c r="S44" s="7">
        <f t="shared" ca="1" si="10"/>
        <v>2</v>
      </c>
      <c r="T44" t="str">
        <f t="shared" ca="1" si="1"/>
        <v>Normal</v>
      </c>
      <c r="U44" t="str">
        <f t="shared" ca="1" si="2"/>
        <v>Baixo</v>
      </c>
      <c r="V44" s="9">
        <f t="shared" si="3"/>
        <v>0.98645347820405538</v>
      </c>
      <c r="W44" t="str">
        <f t="shared" si="4"/>
        <v>C</v>
      </c>
    </row>
    <row r="45" spans="1:23" ht="15" hidden="1" customHeight="1" x14ac:dyDescent="0.25">
      <c r="A45">
        <v>3004</v>
      </c>
      <c r="B45" t="s">
        <v>109</v>
      </c>
      <c r="C45" t="s">
        <v>102</v>
      </c>
      <c r="D45" t="s">
        <v>61</v>
      </c>
      <c r="E45" s="6">
        <v>2180</v>
      </c>
      <c r="F45" s="7">
        <f>SUMIFS(Movimentacoes!$H:$H, Movimentacoes!$D:$D, A45)</f>
        <v>263</v>
      </c>
      <c r="G45" s="7">
        <f t="shared" si="5"/>
        <v>0</v>
      </c>
      <c r="H45" s="7">
        <f t="shared" si="6"/>
        <v>0</v>
      </c>
      <c r="I45" t="s">
        <v>110</v>
      </c>
      <c r="J45" t="s">
        <v>73</v>
      </c>
      <c r="K45" s="32">
        <f ca="1">AVERAGEIFS(Pedidos!$O:$O,Pedidos!$A:$A,A45,Pedidos!$L:$L,"Recebido")</f>
        <v>8</v>
      </c>
      <c r="L45" s="7">
        <f>ROUND(ABS(SUMIFS(Movimentacoes!$H:$H,Movimentacoes!$D:$D,A45,Movimentacoes!$C:$C,"261"))/MAX(1,DATEDIF(_xlfn.MINIFS(Movimentacoes!$A:$A,Movimentacoes!$D:$D,A45,Movimentacoes!$C:$C,"261"),_xlfn.MAXIFS(Movimentacoes!$A:$A,Movimentacoes!$D:$D,A45,Movimentacoes!$C:$C,"261"),"d")),1)</f>
        <v>1.4</v>
      </c>
      <c r="M45">
        <f t="shared" si="7"/>
        <v>0</v>
      </c>
      <c r="N45">
        <f t="shared" si="8"/>
        <v>0</v>
      </c>
      <c r="O45" s="6">
        <f t="shared" si="0"/>
        <v>573340</v>
      </c>
      <c r="P45" s="7">
        <f t="shared" si="9"/>
        <v>187.9</v>
      </c>
      <c r="Q45" s="8">
        <f>IFERROR(_xlfn.MAXIFS(Movimentacoes!$A:$A,Movimentacoes!$D:$D,A45),"")</f>
        <v>46254</v>
      </c>
      <c r="S45" s="7">
        <f t="shared" ca="1" si="10"/>
        <v>5</v>
      </c>
      <c r="T45" t="str">
        <f t="shared" si="1"/>
        <v>Normal</v>
      </c>
      <c r="U45" t="str">
        <f t="shared" ca="1" si="2"/>
        <v>Baixo</v>
      </c>
      <c r="V45" s="9">
        <f t="shared" si="3"/>
        <v>0.85511669309028593</v>
      </c>
      <c r="W45" t="str">
        <f t="shared" si="4"/>
        <v>B</v>
      </c>
    </row>
    <row r="46" spans="1:23" ht="15" hidden="1" customHeight="1" x14ac:dyDescent="0.25">
      <c r="A46">
        <v>6004</v>
      </c>
      <c r="B46" t="s">
        <v>138</v>
      </c>
      <c r="C46" t="s">
        <v>132</v>
      </c>
      <c r="D46" t="s">
        <v>61</v>
      </c>
      <c r="E46" s="6">
        <v>2650</v>
      </c>
      <c r="F46" s="7">
        <f>SUMIFS(Movimentacoes!$H:$H, Movimentacoes!$D:$D, A46)</f>
        <v>265</v>
      </c>
      <c r="G46" s="7">
        <f t="shared" si="5"/>
        <v>0</v>
      </c>
      <c r="H46" s="7">
        <f t="shared" si="6"/>
        <v>0</v>
      </c>
      <c r="I46" t="s">
        <v>139</v>
      </c>
      <c r="J46" t="s">
        <v>73</v>
      </c>
      <c r="K46" s="32">
        <f ca="1">AVERAGEIFS(Pedidos!$O:$O,Pedidos!$A:$A,A46,Pedidos!$L:$L,"Recebido")</f>
        <v>7</v>
      </c>
      <c r="L46" s="7">
        <f>ROUND(ABS(SUMIFS(Movimentacoes!$H:$H,Movimentacoes!$D:$D,A46,Movimentacoes!$C:$C,"261"))/MAX(1,DATEDIF(_xlfn.MINIFS(Movimentacoes!$A:$A,Movimentacoes!$D:$D,A46,Movimentacoes!$C:$C,"261"),_xlfn.MAXIFS(Movimentacoes!$A:$A,Movimentacoes!$D:$D,A46,Movimentacoes!$C:$C,"261"),"d")),1)</f>
        <v>1.2</v>
      </c>
      <c r="M46">
        <f t="shared" si="7"/>
        <v>0</v>
      </c>
      <c r="N46">
        <f t="shared" si="8"/>
        <v>0</v>
      </c>
      <c r="O46" s="6">
        <f t="shared" si="0"/>
        <v>702250</v>
      </c>
      <c r="P46" s="7">
        <f t="shared" si="9"/>
        <v>220.8</v>
      </c>
      <c r="Q46" s="8">
        <f>IFERROR(_xlfn.MAXIFS(Movimentacoes!$A:$A,Movimentacoes!$D:$D,A46),"")</f>
        <v>46256</v>
      </c>
      <c r="S46" s="7">
        <f t="shared" ca="1" si="10"/>
        <v>3</v>
      </c>
      <c r="T46" t="str">
        <f t="shared" si="1"/>
        <v>Normal</v>
      </c>
      <c r="U46" t="str">
        <f t="shared" ca="1" si="2"/>
        <v>Baixo</v>
      </c>
      <c r="V46" s="9">
        <f t="shared" si="3"/>
        <v>0.79638678712098598</v>
      </c>
      <c r="W46" t="str">
        <f t="shared" si="4"/>
        <v>B</v>
      </c>
    </row>
    <row r="47" spans="1:23" x14ac:dyDescent="0.25">
      <c r="L47" s="118"/>
      <c r="R47" s="118">
        <f>IF(
   (INDEX(Movimentacoes!$A:$A, MATCH(A2, Movimentacoes!$D:$D, 0))
    = LOOKUP(2, 1/(Movimentacoes!$D:$D=A2), Movimentacoes!$A:$A)), 0,
   ABS(SUMIFS(Movimentacoes!$H:$H, Movimentacoes!$D:$D, Materiais!A2, Movimentacoes!$C:$C, "261"))
   /((
      (INDEX(Movimentacoes!$I:$I, MATCH(A2, Movimentacoes!$D:$D, 0))
       - INDEX(Movimentacoes!$H:$H, MATCH(A2, Movimentacoes!$D:$D, 0)))
      + LOOKUP(2, 1/(Movimentacoes!$D:$D=A2), Movimentacoes!$I:$I)
   ) / 2)
   * (365 /
      (LOOKUP(2, 1/(Movimentacoes!$D:$D=A2), Movimentacoes!$A:$A)
       - INDEX(Movimentacoes!$A:$A, MATCH(A2, Movimentacoes!$D:$D, 0)))
   )
)</f>
        <v>21.312948086723679</v>
      </c>
    </row>
  </sheetData>
  <autoFilter ref="A1:W46" xr:uid="{00000000-0001-0000-0200-000000000000}">
    <filterColumn colId="0">
      <filters>
        <filter val="2359"/>
      </filters>
    </filterColumn>
    <sortState xmlns:xlrd2="http://schemas.microsoft.com/office/spreadsheetml/2017/richdata2" ref="A2:W46">
      <sortCondition ref="F1:F46"/>
    </sortState>
  </autoFilter>
  <conditionalFormatting sqref="T2:T46">
    <cfRule type="expression" dxfId="12" priority="2">
      <formula>T2="Ruptura"</formula>
    </cfRule>
    <cfRule type="expression" dxfId="11" priority="3">
      <formula>T2="Abaixo do Minimo"</formula>
    </cfRule>
    <cfRule type="expression" dxfId="10" priority="4">
      <formula>T2="Ponto de Reposicao"</formula>
    </cfRule>
    <cfRule type="expression" dxfId="9" priority="5">
      <formula>T2="Normal"</formula>
    </cfRule>
  </conditionalFormatting>
  <conditionalFormatting sqref="U2:U46">
    <cfRule type="expression" dxfId="8" priority="6">
      <formula>U2="Alto"</formula>
    </cfRule>
    <cfRule type="expression" dxfId="7" priority="7">
      <formula>U2="Medio"</formula>
    </cfRule>
    <cfRule type="expression" dxfId="6" priority="8">
      <formula>U2="Baixo"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zoomScaleNormal="100" workbookViewId="0">
      <pane ySplit="1" topLeftCell="A2" activePane="bottomLeft" state="frozen"/>
      <selection pane="bottomLeft" activeCell="D2" sqref="D2:D6"/>
    </sheetView>
  </sheetViews>
  <sheetFormatPr defaultColWidth="8.7109375" defaultRowHeight="15" x14ac:dyDescent="0.25"/>
  <cols>
    <col min="1" max="1" width="16.5703125" bestFit="1" customWidth="1"/>
    <col min="2" max="2" width="26" customWidth="1"/>
    <col min="3" max="4" width="18" customWidth="1"/>
    <col min="5" max="5" width="13" customWidth="1"/>
    <col min="6" max="6" width="15" customWidth="1"/>
    <col min="7" max="7" width="14" customWidth="1"/>
    <col min="8" max="8" width="10" customWidth="1"/>
    <col min="9" max="9" width="16" customWidth="1"/>
    <col min="10" max="10" width="11.28515625" bestFit="1" customWidth="1"/>
  </cols>
  <sheetData>
    <row r="1" spans="1:10" ht="41.25" customHeight="1" x14ac:dyDescent="0.25">
      <c r="A1" s="5" t="s">
        <v>39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</row>
    <row r="2" spans="1:10" ht="15" customHeight="1" x14ac:dyDescent="0.25">
      <c r="A2" t="str">
        <f t="array" ref="A2">IFERROR(INDEX(Pedidos!$E$2:$E$10000,MATCH(0,COUNTIF($A$1:A1,Pedidos!$E$2:$E$10000),0)),"")</f>
        <v>FORN-001</v>
      </c>
      <c r="B2" t="str">
        <f>IFERROR(VLOOKUP(A2,Pedidos!$E:$F,2,FALSE),"")</f>
        <v>Metso Outotec Brasil</v>
      </c>
      <c r="C2" t="s">
        <v>175</v>
      </c>
      <c r="D2">
        <f>ROUND(AVERAGEIF(Pedidos!$E:$E,A2,Pedidos!$O:$O),0)</f>
        <v>5</v>
      </c>
      <c r="E2">
        <f>COUNTIF(Pedidos!$E:$E,Fornecedores!A2)</f>
        <v>27</v>
      </c>
      <c r="F2">
        <f ca="1">COUNTIFS(Pedidos!$E:$E,Fornecedores!A2,Pedidos!$L:$L,"Recebido")</f>
        <v>18</v>
      </c>
      <c r="G2">
        <f>COUNTIFS(Pedidos!$E:$E,A2,Pedidos!$M:$M,"No Prazo")</f>
        <v>18</v>
      </c>
      <c r="H2" s="9">
        <f t="shared" ref="H2:H6" ca="1" si="0">IFERROR(G2/F2,0)</f>
        <v>1</v>
      </c>
      <c r="I2">
        <f ca="1">COUNTIFS(Pedidos!$E:$E,A2,Pedidos!$L:$L,"Atrasado")</f>
        <v>5</v>
      </c>
      <c r="J2" t="str">
        <f ca="1">IF(H2&gt;=0.95,"Excelente",IF(H2&gt;=0.85,"Bom",IF(H2&gt;=0.7,"Regular","Ruim")))</f>
        <v>Excelente</v>
      </c>
    </row>
    <row r="3" spans="1:10" ht="15" customHeight="1" x14ac:dyDescent="0.25">
      <c r="A3" t="str">
        <f t="array" ref="A3">IFERROR(INDEX(Pedidos!$E$2:$E$10000,MATCH(0,COUNTIF($A$1:A2,Pedidos!$E$2:$E$10000),0)),"")</f>
        <v>FORN-002</v>
      </c>
      <c r="B3" t="str">
        <f>IFERROR(VLOOKUP(A3,Pedidos!$E:$F,2,FALSE),"")</f>
        <v>SKF do Brasil Ltda</v>
      </c>
      <c r="C3" t="s">
        <v>177</v>
      </c>
      <c r="D3">
        <f>ROUND(AVERAGEIF(Pedidos!$E:$E,A3,Pedidos!$O:$O),0)</f>
        <v>8</v>
      </c>
      <c r="E3">
        <f>COUNTIF(Pedidos!$E:$E,Fornecedores!A3)</f>
        <v>28</v>
      </c>
      <c r="F3">
        <f ca="1">COUNTIFS(Pedidos!$E:$E,Fornecedores!A3,Pedidos!$L:$L,"Recebido")</f>
        <v>18</v>
      </c>
      <c r="G3">
        <f>COUNTIFS(Pedidos!$E:$E,A3,Pedidos!$M:$M,"No Prazo")</f>
        <v>13</v>
      </c>
      <c r="H3" s="9">
        <f t="shared" ca="1" si="0"/>
        <v>0.72222222222222221</v>
      </c>
      <c r="I3">
        <f ca="1">COUNTIFS(Pedidos!$E:$E,A3,Pedidos!$L:$L,"Atrasado")</f>
        <v>7</v>
      </c>
      <c r="J3" t="str">
        <f ca="1">IF(H3&gt;=0.95,"Excelente",IF(H3&gt;=0.85,"Bom",IF(H3&gt;=0.7,"Regular","Ruim")))</f>
        <v>Regular</v>
      </c>
    </row>
    <row r="4" spans="1:10" ht="15" customHeight="1" x14ac:dyDescent="0.25">
      <c r="A4" t="str">
        <f t="array" ref="A4">IFERROR(INDEX(Pedidos!$E$2:$E$10000,MATCH(0,COUNTIF($A$1:A3,Pedidos!$E$2:$E$10000),0)),"")</f>
        <v>FORN-003</v>
      </c>
      <c r="B4" t="str">
        <f>IFERROR(VLOOKUP(A4,Pedidos!$E:$F,2,FALSE),"")</f>
        <v>WEG Equipamentos Eletricos</v>
      </c>
      <c r="C4" t="s">
        <v>178</v>
      </c>
      <c r="D4">
        <f>ROUND(AVERAGEIF(Pedidos!$E:$E,A4,Pedidos!$O:$O),0)</f>
        <v>7</v>
      </c>
      <c r="E4">
        <f>COUNTIF(Pedidos!$E:$E,Fornecedores!A4)</f>
        <v>27</v>
      </c>
      <c r="F4">
        <f ca="1">COUNTIFS(Pedidos!$E:$E,Fornecedores!A4,Pedidos!$L:$L,"Recebido")</f>
        <v>18</v>
      </c>
      <c r="G4">
        <f>COUNTIFS(Pedidos!$E:$E,A4,Pedidos!$M:$M,"No Prazo")</f>
        <v>14</v>
      </c>
      <c r="H4" s="9">
        <f t="shared" ca="1" si="0"/>
        <v>0.77777777777777779</v>
      </c>
      <c r="I4">
        <f ca="1">COUNTIFS(Pedidos!$E:$E,A4,Pedidos!$L:$L,"Atrasado")</f>
        <v>7</v>
      </c>
      <c r="J4" t="str">
        <f ca="1">IF(H4&gt;=0.95,"Excelente",IF(H4&gt;=0.85,"Bom",IF(H4&gt;=0.7,"Regular","Ruim")))</f>
        <v>Regular</v>
      </c>
    </row>
    <row r="5" spans="1:10" ht="15" customHeight="1" x14ac:dyDescent="0.25">
      <c r="A5" t="str">
        <f t="array" ref="A5">IFERROR(INDEX(Pedidos!$E$2:$E$10000,MATCH(0,COUNTIF($A$1:A4,Pedidos!$E$2:$E$10000),0)),"")</f>
        <v>FORN-004</v>
      </c>
      <c r="B5" t="str">
        <f>IFERROR(VLOOKUP(A5,Pedidos!$E:$F,2,FALSE),"")</f>
        <v>Parker Hannifin Ind. e Com.</v>
      </c>
      <c r="C5" t="s">
        <v>179</v>
      </c>
      <c r="D5">
        <f>ROUND(AVERAGEIF(Pedidos!$E:$E,A5,Pedidos!$O:$O),0)</f>
        <v>8</v>
      </c>
      <c r="E5">
        <f>COUNTIF(Pedidos!$E:$E,Fornecedores!A5)</f>
        <v>27</v>
      </c>
      <c r="F5">
        <f ca="1">COUNTIFS(Pedidos!$E:$E,Fornecedores!A5,Pedidos!$L:$L,"Recebido")</f>
        <v>18</v>
      </c>
      <c r="G5">
        <f>COUNTIFS(Pedidos!$E:$E,A5,Pedidos!$M:$M,"No Prazo")</f>
        <v>15</v>
      </c>
      <c r="H5" s="9">
        <f t="shared" ca="1" si="0"/>
        <v>0.83333333333333337</v>
      </c>
      <c r="I5">
        <f ca="1">COUNTIFS(Pedidos!$E:$E,A5,Pedidos!$L:$L,"Atrasado")</f>
        <v>9</v>
      </c>
      <c r="J5" t="str">
        <f ca="1">IF(H5&gt;=0.95,"Excelente",IF(H5&gt;=0.85,"Bom",IF(H5&gt;=0.7,"Regular","Ruim")))</f>
        <v>Regular</v>
      </c>
    </row>
    <row r="6" spans="1:10" ht="15" customHeight="1" x14ac:dyDescent="0.25">
      <c r="A6" t="str">
        <f t="array" ref="A6">IFERROR(INDEX(Pedidos!$E$2:$E$10000,MATCH(0,COUNTIF($A$1:A5,Pedidos!$E$2:$E$10000),0)),"")</f>
        <v>FORN-005</v>
      </c>
      <c r="B6" t="str">
        <f>IFERROR(VLOOKUP(A6,Pedidos!$E:$F,2,FALSE),"")</f>
        <v>Continental Correias Ind.</v>
      </c>
      <c r="C6" t="s">
        <v>180</v>
      </c>
      <c r="D6">
        <f>ROUND(AVERAGEIF(Pedidos!$E:$E,A6,Pedidos!$O:$O),0)</f>
        <v>7</v>
      </c>
      <c r="E6">
        <f>COUNTIF(Pedidos!$E:$E,Fornecedores!A6)</f>
        <v>27</v>
      </c>
      <c r="F6">
        <f ca="1">COUNTIFS(Pedidos!$E:$E,Fornecedores!A6,Pedidos!$L:$L,"Recebido")</f>
        <v>18</v>
      </c>
      <c r="G6">
        <f>COUNTIFS(Pedidos!$E:$E,A6,Pedidos!$M:$M,"No Prazo")</f>
        <v>17</v>
      </c>
      <c r="H6" s="9">
        <f t="shared" ca="1" si="0"/>
        <v>0.94444444444444442</v>
      </c>
      <c r="I6">
        <f ca="1">COUNTIFS(Pedidos!$E:$E,A6,Pedidos!$L:$L,"Atrasado")</f>
        <v>8</v>
      </c>
      <c r="J6" t="str">
        <f ca="1">IF(H6&gt;=0.95,"Excelente",IF(H6&gt;=0.85,"Bom",IF(H6&gt;=0.7,"Regular","Ruim")))</f>
        <v>Bom</v>
      </c>
    </row>
    <row r="7" spans="1:10" ht="15" customHeight="1" x14ac:dyDescent="0.25">
      <c r="B7" t="str">
        <f>IFERROR(VLOOKUP(A7,Pedidos!$E:$F,2,FALSE),"")</f>
        <v/>
      </c>
      <c r="H7" s="9"/>
    </row>
    <row r="8" spans="1:10" ht="15" customHeight="1" x14ac:dyDescent="0.25">
      <c r="A8" t="str">
        <f t="array" ref="A8">IFERROR(INDEX(Pedidos!$E$2:$E$135,MATCH(0,COUNTIF($A$1:A7,Pedidos!$E$2:$E$135),0)),"")</f>
        <v/>
      </c>
      <c r="B8" t="str">
        <f>IFERROR(VLOOKUP(A8,Pedidos!$E:$F,2,FALSE),"")</f>
        <v/>
      </c>
      <c r="H8" s="9"/>
    </row>
    <row r="9" spans="1:10" ht="15" customHeight="1" x14ac:dyDescent="0.25">
      <c r="A9" t="str">
        <f t="array" ref="A9">IFERROR(INDEX(Pedidos!$E$2:$E$135,MATCH(0,COUNTIF($A$1:A8,Pedidos!$E$2:$E$135),0)),"")</f>
        <v/>
      </c>
      <c r="B9" t="str">
        <f>IFERROR(VLOOKUP(A9,Pedidos!$E:$F,2,FALSE),"")</f>
        <v/>
      </c>
      <c r="H9" s="9"/>
    </row>
  </sheetData>
  <phoneticPr fontId="15" type="noConversion"/>
  <conditionalFormatting sqref="H2:H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21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defaultColWidth="8.7109375" defaultRowHeight="15" x14ac:dyDescent="0.25"/>
  <cols>
    <col min="1" max="1" width="10.42578125" style="17" bestFit="1" customWidth="1"/>
    <col min="2" max="2" width="21.28515625" customWidth="1"/>
    <col min="3" max="3" width="17.7109375" customWidth="1"/>
    <col min="4" max="4" width="17" bestFit="1" customWidth="1"/>
    <col min="5" max="5" width="33.5703125" bestFit="1" customWidth="1"/>
    <col min="6" max="6" width="9.140625"/>
    <col min="7" max="7" width="11.140625" customWidth="1"/>
    <col min="8" max="8" width="13.5703125" customWidth="1"/>
    <col min="9" max="9" width="15.5703125" bestFit="1" customWidth="1"/>
    <col min="11" max="11" width="18.140625" bestFit="1" customWidth="1"/>
    <col min="12" max="12" width="12.7109375" customWidth="1"/>
    <col min="13" max="13" width="16.85546875" bestFit="1" customWidth="1"/>
  </cols>
  <sheetData>
    <row r="1" spans="1:13" ht="15" customHeight="1" x14ac:dyDescent="0.25">
      <c r="A1" s="13" t="s">
        <v>181</v>
      </c>
      <c r="B1" s="13" t="s">
        <v>220</v>
      </c>
      <c r="C1" s="30" t="s">
        <v>221</v>
      </c>
      <c r="D1" s="30" t="s">
        <v>1687</v>
      </c>
      <c r="E1" s="30" t="s">
        <v>222</v>
      </c>
      <c r="F1" s="13" t="s">
        <v>223</v>
      </c>
      <c r="G1" s="13" t="s">
        <v>224</v>
      </c>
      <c r="H1" s="13" t="s">
        <v>182</v>
      </c>
      <c r="I1" s="30" t="s">
        <v>44</v>
      </c>
      <c r="J1" s="30" t="s">
        <v>225</v>
      </c>
      <c r="K1" s="13" t="s">
        <v>226</v>
      </c>
      <c r="L1" s="13" t="s">
        <v>227</v>
      </c>
      <c r="M1" s="13" t="s">
        <v>228</v>
      </c>
    </row>
    <row r="2" spans="1:13" ht="15" hidden="1" customHeight="1" x14ac:dyDescent="0.25">
      <c r="A2" s="17">
        <v>45664</v>
      </c>
      <c r="B2" t="s">
        <v>321</v>
      </c>
      <c r="C2">
        <v>101</v>
      </c>
      <c r="D2">
        <v>2001</v>
      </c>
      <c r="E2" t="s">
        <v>59</v>
      </c>
      <c r="F2" t="s">
        <v>229</v>
      </c>
      <c r="G2" t="s">
        <v>230</v>
      </c>
      <c r="H2">
        <v>52</v>
      </c>
      <c r="I2">
        <f>SUMIF($D$2:D2, D2, $H$2:H2)</f>
        <v>52</v>
      </c>
      <c r="J2" t="s">
        <v>61</v>
      </c>
      <c r="K2">
        <v>18500</v>
      </c>
      <c r="L2">
        <f>ABS(Tabela4[[#This Row],[Quantidade]]*Tabela4[[#This Row],[Valor Unitario]])</f>
        <v>962000</v>
      </c>
      <c r="M2" t="s">
        <v>231</v>
      </c>
    </row>
    <row r="3" spans="1:13" ht="15" hidden="1" customHeight="1" x14ac:dyDescent="0.25">
      <c r="A3" s="17">
        <v>45668</v>
      </c>
      <c r="B3" t="s">
        <v>337</v>
      </c>
      <c r="C3">
        <v>101</v>
      </c>
      <c r="D3">
        <v>2002</v>
      </c>
      <c r="E3" t="s">
        <v>64</v>
      </c>
      <c r="F3" t="s">
        <v>229</v>
      </c>
      <c r="G3" t="s">
        <v>230</v>
      </c>
      <c r="H3">
        <v>59</v>
      </c>
      <c r="I3">
        <f>SUMIF($D$2:D3, D3, $H$2:H3)</f>
        <v>59</v>
      </c>
      <c r="J3" t="s">
        <v>61</v>
      </c>
      <c r="K3">
        <v>19800</v>
      </c>
      <c r="L3">
        <f>ABS(Tabela4[[#This Row],[Quantidade]]*Tabela4[[#This Row],[Valor Unitario]])</f>
        <v>1168200</v>
      </c>
      <c r="M3" t="s">
        <v>247</v>
      </c>
    </row>
    <row r="4" spans="1:13" ht="15" hidden="1" customHeight="1" x14ac:dyDescent="0.25">
      <c r="A4" s="17">
        <v>45669</v>
      </c>
      <c r="B4" t="s">
        <v>353</v>
      </c>
      <c r="C4">
        <v>101</v>
      </c>
      <c r="D4">
        <v>2003</v>
      </c>
      <c r="E4" t="s">
        <v>66</v>
      </c>
      <c r="F4" t="s">
        <v>229</v>
      </c>
      <c r="G4" t="s">
        <v>230</v>
      </c>
      <c r="H4">
        <v>60</v>
      </c>
      <c r="I4">
        <f>SUMIF($D$2:D4, D4, $H$2:H4)</f>
        <v>60</v>
      </c>
      <c r="J4" t="s">
        <v>61</v>
      </c>
      <c r="K4">
        <v>12400</v>
      </c>
      <c r="L4">
        <f>ABS(Tabela4[[#This Row],[Quantidade]]*Tabela4[[#This Row],[Valor Unitario]])</f>
        <v>744000</v>
      </c>
      <c r="M4" t="s">
        <v>263</v>
      </c>
    </row>
    <row r="5" spans="1:13" ht="15" hidden="1" customHeight="1" x14ac:dyDescent="0.25">
      <c r="A5" s="17">
        <v>45678</v>
      </c>
      <c r="B5" t="s">
        <v>354</v>
      </c>
      <c r="C5">
        <v>261</v>
      </c>
      <c r="D5">
        <v>2003</v>
      </c>
      <c r="E5" t="s">
        <v>66</v>
      </c>
      <c r="F5" t="s">
        <v>229</v>
      </c>
      <c r="G5" t="s">
        <v>230</v>
      </c>
      <c r="H5">
        <v>-44</v>
      </c>
      <c r="I5">
        <f>SUMIF($D$2:D5, D5, $H$2:H5)</f>
        <v>16</v>
      </c>
      <c r="J5" t="s">
        <v>61</v>
      </c>
      <c r="K5">
        <v>12400</v>
      </c>
      <c r="L5">
        <f>ABS(Tabela4[[#This Row],[Quantidade]]*Tabela4[[#This Row],[Valor Unitario]])</f>
        <v>545600</v>
      </c>
      <c r="M5" t="s">
        <v>264</v>
      </c>
    </row>
    <row r="6" spans="1:13" ht="15" hidden="1" customHeight="1" x14ac:dyDescent="0.25">
      <c r="A6" s="17">
        <v>45681</v>
      </c>
      <c r="B6" t="s">
        <v>338</v>
      </c>
      <c r="C6">
        <v>261</v>
      </c>
      <c r="D6">
        <v>2002</v>
      </c>
      <c r="E6" t="s">
        <v>64</v>
      </c>
      <c r="F6" t="s">
        <v>229</v>
      </c>
      <c r="G6" t="s">
        <v>230</v>
      </c>
      <c r="H6">
        <v>-6</v>
      </c>
      <c r="I6">
        <f>SUMIF($D$2:D6, D6, $H$2:H6)</f>
        <v>53</v>
      </c>
      <c r="J6" t="s">
        <v>61</v>
      </c>
      <c r="K6">
        <v>19800</v>
      </c>
      <c r="L6">
        <f>ABS(Tabela4[[#This Row],[Quantidade]]*Tabela4[[#This Row],[Valor Unitario]])</f>
        <v>118800</v>
      </c>
      <c r="M6" t="s">
        <v>248</v>
      </c>
    </row>
    <row r="7" spans="1:13" ht="15" hidden="1" customHeight="1" x14ac:dyDescent="0.25">
      <c r="A7" s="17">
        <v>45686</v>
      </c>
      <c r="B7" t="s">
        <v>322</v>
      </c>
      <c r="C7">
        <v>261</v>
      </c>
      <c r="D7">
        <v>2001</v>
      </c>
      <c r="E7" t="s">
        <v>59</v>
      </c>
      <c r="F7" t="s">
        <v>229</v>
      </c>
      <c r="G7" t="s">
        <v>230</v>
      </c>
      <c r="H7">
        <v>-20</v>
      </c>
      <c r="I7">
        <f>SUMIF($D$2:D7, D7, $H$2:H7)</f>
        <v>32</v>
      </c>
      <c r="J7" t="s">
        <v>61</v>
      </c>
      <c r="K7">
        <v>18500</v>
      </c>
      <c r="L7">
        <f>ABS(Tabela4[[#This Row],[Quantidade]]*Tabela4[[#This Row],[Valor Unitario]])</f>
        <v>370000</v>
      </c>
      <c r="M7" t="s">
        <v>232</v>
      </c>
    </row>
    <row r="8" spans="1:13" ht="15" hidden="1" customHeight="1" x14ac:dyDescent="0.25">
      <c r="A8" s="17">
        <v>45700</v>
      </c>
      <c r="B8" t="s">
        <v>339</v>
      </c>
      <c r="C8">
        <v>101</v>
      </c>
      <c r="D8">
        <v>2002</v>
      </c>
      <c r="E8" t="s">
        <v>64</v>
      </c>
      <c r="F8" t="s">
        <v>229</v>
      </c>
      <c r="G8" t="s">
        <v>230</v>
      </c>
      <c r="H8">
        <v>80</v>
      </c>
      <c r="I8">
        <f>SUMIF($D$2:D8, D8, $H$2:H8)</f>
        <v>133</v>
      </c>
      <c r="J8" t="s">
        <v>61</v>
      </c>
      <c r="K8">
        <v>19800</v>
      </c>
      <c r="L8">
        <f>ABS(Tabela4[[#This Row],[Quantidade]]*Tabela4[[#This Row],[Valor Unitario]])</f>
        <v>1584000</v>
      </c>
      <c r="M8" t="s">
        <v>249</v>
      </c>
    </row>
    <row r="9" spans="1:13" ht="15" hidden="1" customHeight="1" x14ac:dyDescent="0.25">
      <c r="A9" s="17">
        <v>45701</v>
      </c>
      <c r="B9" t="s">
        <v>323</v>
      </c>
      <c r="C9">
        <v>101</v>
      </c>
      <c r="D9">
        <v>2001</v>
      </c>
      <c r="E9" t="s">
        <v>59</v>
      </c>
      <c r="F9" t="s">
        <v>229</v>
      </c>
      <c r="G9" t="s">
        <v>230</v>
      </c>
      <c r="H9">
        <v>21</v>
      </c>
      <c r="I9">
        <f>SUMIF($D$2:D9, D9, $H$2:H9)</f>
        <v>53</v>
      </c>
      <c r="J9" t="s">
        <v>61</v>
      </c>
      <c r="K9">
        <v>18500</v>
      </c>
      <c r="L9">
        <f>ABS(Tabela4[[#This Row],[Quantidade]]*Tabela4[[#This Row],[Valor Unitario]])</f>
        <v>388500</v>
      </c>
      <c r="M9" t="s">
        <v>233</v>
      </c>
    </row>
    <row r="10" spans="1:13" ht="15" hidden="1" customHeight="1" x14ac:dyDescent="0.25">
      <c r="A10" s="17">
        <v>45701</v>
      </c>
      <c r="B10" t="s">
        <v>355</v>
      </c>
      <c r="C10">
        <v>101</v>
      </c>
      <c r="D10">
        <v>2003</v>
      </c>
      <c r="E10" t="s">
        <v>66</v>
      </c>
      <c r="F10" t="s">
        <v>229</v>
      </c>
      <c r="G10" t="s">
        <v>230</v>
      </c>
      <c r="H10">
        <v>8</v>
      </c>
      <c r="I10">
        <f>SUMIF($D$2:D10, D10, $H$2:H10)</f>
        <v>24</v>
      </c>
      <c r="J10" t="s">
        <v>61</v>
      </c>
      <c r="K10">
        <v>12400</v>
      </c>
      <c r="L10">
        <f>ABS(Tabela4[[#This Row],[Quantidade]]*Tabela4[[#This Row],[Valor Unitario]])</f>
        <v>99200</v>
      </c>
      <c r="M10" t="s">
        <v>265</v>
      </c>
    </row>
    <row r="11" spans="1:13" ht="15" hidden="1" customHeight="1" x14ac:dyDescent="0.25">
      <c r="A11" s="17">
        <v>45705</v>
      </c>
      <c r="B11" t="s">
        <v>356</v>
      </c>
      <c r="C11">
        <v>261</v>
      </c>
      <c r="D11">
        <v>2003</v>
      </c>
      <c r="E11" t="s">
        <v>66</v>
      </c>
      <c r="F11" t="s">
        <v>229</v>
      </c>
      <c r="G11" t="s">
        <v>230</v>
      </c>
      <c r="H11">
        <v>-78</v>
      </c>
      <c r="I11">
        <f>SUMIF($D$2:D11, D11, $H$2:H11)</f>
        <v>-54</v>
      </c>
      <c r="J11" t="s">
        <v>61</v>
      </c>
      <c r="K11">
        <v>12400</v>
      </c>
      <c r="L11">
        <f>ABS(Tabela4[[#This Row],[Quantidade]]*Tabela4[[#This Row],[Valor Unitario]])</f>
        <v>967200</v>
      </c>
      <c r="M11" t="s">
        <v>266</v>
      </c>
    </row>
    <row r="12" spans="1:13" ht="15" hidden="1" customHeight="1" x14ac:dyDescent="0.25">
      <c r="A12" s="17">
        <v>45709</v>
      </c>
      <c r="B12" t="s">
        <v>324</v>
      </c>
      <c r="C12">
        <v>261</v>
      </c>
      <c r="D12">
        <v>2001</v>
      </c>
      <c r="E12" t="s">
        <v>59</v>
      </c>
      <c r="F12" t="s">
        <v>229</v>
      </c>
      <c r="G12" t="s">
        <v>230</v>
      </c>
      <c r="H12">
        <v>-15</v>
      </c>
      <c r="I12">
        <f>SUMIF($D$2:D12, D12, $H$2:H12)</f>
        <v>38</v>
      </c>
      <c r="J12" t="s">
        <v>61</v>
      </c>
      <c r="K12">
        <v>18500</v>
      </c>
      <c r="L12">
        <f>ABS(Tabela4[[#This Row],[Quantidade]]*Tabela4[[#This Row],[Valor Unitario]])</f>
        <v>277500</v>
      </c>
      <c r="M12" t="s">
        <v>234</v>
      </c>
    </row>
    <row r="13" spans="1:13" ht="15" hidden="1" customHeight="1" x14ac:dyDescent="0.25">
      <c r="A13" s="17">
        <v>45716</v>
      </c>
      <c r="B13" t="s">
        <v>340</v>
      </c>
      <c r="C13">
        <v>261</v>
      </c>
      <c r="D13">
        <v>2002</v>
      </c>
      <c r="E13" t="s">
        <v>64</v>
      </c>
      <c r="F13" t="s">
        <v>229</v>
      </c>
      <c r="G13" t="s">
        <v>230</v>
      </c>
      <c r="H13">
        <v>-7</v>
      </c>
      <c r="I13">
        <f>SUMIF($D$2:D13, D13, $H$2:H13)</f>
        <v>126</v>
      </c>
      <c r="J13" t="s">
        <v>61</v>
      </c>
      <c r="K13">
        <v>19800</v>
      </c>
      <c r="L13">
        <f>ABS(Tabela4[[#This Row],[Quantidade]]*Tabela4[[#This Row],[Valor Unitario]])</f>
        <v>138600</v>
      </c>
      <c r="M13" t="s">
        <v>250</v>
      </c>
    </row>
    <row r="14" spans="1:13" ht="15" hidden="1" customHeight="1" x14ac:dyDescent="0.25">
      <c r="A14" s="17">
        <v>45717</v>
      </c>
      <c r="B14" t="s">
        <v>357</v>
      </c>
      <c r="C14">
        <v>101</v>
      </c>
      <c r="D14">
        <v>2003</v>
      </c>
      <c r="E14" t="s">
        <v>66</v>
      </c>
      <c r="F14" t="s">
        <v>229</v>
      </c>
      <c r="G14" t="s">
        <v>230</v>
      </c>
      <c r="H14">
        <v>36</v>
      </c>
      <c r="I14">
        <f>SUMIF($D$2:D14, D14, $H$2:H14)</f>
        <v>-18</v>
      </c>
      <c r="J14" t="s">
        <v>61</v>
      </c>
      <c r="K14">
        <v>12400</v>
      </c>
      <c r="L14">
        <f>ABS(Tabela4[[#This Row],[Quantidade]]*Tabela4[[#This Row],[Valor Unitario]])</f>
        <v>446400</v>
      </c>
      <c r="M14" t="s">
        <v>267</v>
      </c>
    </row>
    <row r="15" spans="1:13" ht="15" hidden="1" customHeight="1" x14ac:dyDescent="0.25">
      <c r="A15" s="17">
        <v>45723</v>
      </c>
      <c r="B15" t="s">
        <v>325</v>
      </c>
      <c r="C15">
        <v>101</v>
      </c>
      <c r="D15">
        <v>2001</v>
      </c>
      <c r="E15" t="s">
        <v>59</v>
      </c>
      <c r="F15" t="s">
        <v>229</v>
      </c>
      <c r="G15" t="s">
        <v>230</v>
      </c>
      <c r="H15">
        <v>75</v>
      </c>
      <c r="I15">
        <f>SUMIF($D$2:D15, D15, $H$2:H15)</f>
        <v>113</v>
      </c>
      <c r="J15" t="s">
        <v>61</v>
      </c>
      <c r="K15">
        <v>18500</v>
      </c>
      <c r="L15">
        <f>ABS(Tabela4[[#This Row],[Quantidade]]*Tabela4[[#This Row],[Valor Unitario]])</f>
        <v>1387500</v>
      </c>
      <c r="M15" t="s">
        <v>235</v>
      </c>
    </row>
    <row r="16" spans="1:13" ht="15" hidden="1" customHeight="1" x14ac:dyDescent="0.25">
      <c r="A16" s="17">
        <v>45730</v>
      </c>
      <c r="B16" t="s">
        <v>341</v>
      </c>
      <c r="C16">
        <v>101</v>
      </c>
      <c r="D16">
        <v>2002</v>
      </c>
      <c r="E16" t="s">
        <v>64</v>
      </c>
      <c r="F16" t="s">
        <v>229</v>
      </c>
      <c r="G16" t="s">
        <v>230</v>
      </c>
      <c r="H16">
        <v>51</v>
      </c>
      <c r="I16">
        <f>SUMIF($D$2:D16, D16, $H$2:H16)</f>
        <v>177</v>
      </c>
      <c r="J16" t="s">
        <v>61</v>
      </c>
      <c r="K16">
        <v>19800</v>
      </c>
      <c r="L16">
        <f>ABS(Tabela4[[#This Row],[Quantidade]]*Tabela4[[#This Row],[Valor Unitario]])</f>
        <v>1009800</v>
      </c>
      <c r="M16" t="s">
        <v>251</v>
      </c>
    </row>
    <row r="17" spans="1:13" ht="15" hidden="1" customHeight="1" x14ac:dyDescent="0.25">
      <c r="A17" s="17">
        <v>45738</v>
      </c>
      <c r="B17" t="s">
        <v>358</v>
      </c>
      <c r="C17">
        <v>261</v>
      </c>
      <c r="D17">
        <v>2003</v>
      </c>
      <c r="E17" t="s">
        <v>66</v>
      </c>
      <c r="F17" t="s">
        <v>229</v>
      </c>
      <c r="G17" t="s">
        <v>230</v>
      </c>
      <c r="H17">
        <v>-4</v>
      </c>
      <c r="I17">
        <f>SUMIF($D$2:D17, D17, $H$2:H17)</f>
        <v>-22</v>
      </c>
      <c r="J17" t="s">
        <v>61</v>
      </c>
      <c r="K17">
        <v>12400</v>
      </c>
      <c r="L17">
        <f>ABS(Tabela4[[#This Row],[Quantidade]]*Tabela4[[#This Row],[Valor Unitario]])</f>
        <v>49600</v>
      </c>
      <c r="M17" t="s">
        <v>268</v>
      </c>
    </row>
    <row r="18" spans="1:13" ht="15" hidden="1" customHeight="1" x14ac:dyDescent="0.25">
      <c r="A18" s="17">
        <v>45741</v>
      </c>
      <c r="B18" t="s">
        <v>326</v>
      </c>
      <c r="C18">
        <v>261</v>
      </c>
      <c r="D18">
        <v>2001</v>
      </c>
      <c r="E18" t="s">
        <v>59</v>
      </c>
      <c r="F18" t="s">
        <v>229</v>
      </c>
      <c r="G18" t="s">
        <v>230</v>
      </c>
      <c r="H18">
        <v>-17</v>
      </c>
      <c r="I18">
        <f>SUMIF($D$2:D18, D18, $H$2:H18)</f>
        <v>96</v>
      </c>
      <c r="J18" t="s">
        <v>61</v>
      </c>
      <c r="K18">
        <v>18500</v>
      </c>
      <c r="L18">
        <f>ABS(Tabela4[[#This Row],[Quantidade]]*Tabela4[[#This Row],[Valor Unitario]])</f>
        <v>314500</v>
      </c>
      <c r="M18" t="s">
        <v>236</v>
      </c>
    </row>
    <row r="19" spans="1:13" ht="15" hidden="1" customHeight="1" x14ac:dyDescent="0.25">
      <c r="A19" s="17">
        <v>45742</v>
      </c>
      <c r="B19" t="s">
        <v>342</v>
      </c>
      <c r="C19">
        <v>261</v>
      </c>
      <c r="D19">
        <v>2002</v>
      </c>
      <c r="E19" t="s">
        <v>64</v>
      </c>
      <c r="F19" t="s">
        <v>229</v>
      </c>
      <c r="G19" t="s">
        <v>230</v>
      </c>
      <c r="H19">
        <v>-15</v>
      </c>
      <c r="I19">
        <f>SUMIF($D$2:D19, D19, $H$2:H19)</f>
        <v>162</v>
      </c>
      <c r="J19" t="s">
        <v>61</v>
      </c>
      <c r="K19">
        <v>19800</v>
      </c>
      <c r="L19">
        <f>ABS(Tabela4[[#This Row],[Quantidade]]*Tabela4[[#This Row],[Valor Unitario]])</f>
        <v>297000</v>
      </c>
      <c r="M19" t="s">
        <v>252</v>
      </c>
    </row>
    <row r="20" spans="1:13" ht="15" hidden="1" customHeight="1" x14ac:dyDescent="0.25">
      <c r="A20" s="17">
        <v>45749</v>
      </c>
      <c r="B20" t="s">
        <v>359</v>
      </c>
      <c r="C20">
        <v>101</v>
      </c>
      <c r="D20">
        <v>2003</v>
      </c>
      <c r="E20" t="s">
        <v>66</v>
      </c>
      <c r="F20" t="s">
        <v>229</v>
      </c>
      <c r="G20" t="s">
        <v>230</v>
      </c>
      <c r="H20">
        <v>6</v>
      </c>
      <c r="I20">
        <f>SUMIF($D$2:D20, D20, $H$2:H20)</f>
        <v>-16</v>
      </c>
      <c r="J20" t="s">
        <v>61</v>
      </c>
      <c r="K20">
        <v>12400</v>
      </c>
      <c r="L20">
        <f>ABS(Tabela4[[#This Row],[Quantidade]]*Tabela4[[#This Row],[Valor Unitario]])</f>
        <v>74400</v>
      </c>
      <c r="M20" t="s">
        <v>269</v>
      </c>
    </row>
    <row r="21" spans="1:13" ht="15" hidden="1" customHeight="1" x14ac:dyDescent="0.25">
      <c r="A21" s="17">
        <v>45751</v>
      </c>
      <c r="B21" t="s">
        <v>343</v>
      </c>
      <c r="C21">
        <v>101</v>
      </c>
      <c r="D21">
        <v>2002</v>
      </c>
      <c r="E21" t="s">
        <v>64</v>
      </c>
      <c r="F21" t="s">
        <v>229</v>
      </c>
      <c r="G21" t="s">
        <v>230</v>
      </c>
      <c r="H21">
        <v>64</v>
      </c>
      <c r="I21">
        <f>SUMIF($D$2:D21, D21, $H$2:H21)</f>
        <v>226</v>
      </c>
      <c r="J21" t="s">
        <v>61</v>
      </c>
      <c r="K21">
        <v>19800</v>
      </c>
      <c r="L21">
        <f>ABS(Tabela4[[#This Row],[Quantidade]]*Tabela4[[#This Row],[Valor Unitario]])</f>
        <v>1267200</v>
      </c>
      <c r="M21" t="s">
        <v>253</v>
      </c>
    </row>
    <row r="22" spans="1:13" ht="15" hidden="1" customHeight="1" x14ac:dyDescent="0.25">
      <c r="A22" s="17">
        <v>45752</v>
      </c>
      <c r="B22" t="s">
        <v>327</v>
      </c>
      <c r="C22">
        <v>101</v>
      </c>
      <c r="D22">
        <v>2001</v>
      </c>
      <c r="E22" t="s">
        <v>59</v>
      </c>
      <c r="F22" t="s">
        <v>229</v>
      </c>
      <c r="G22" t="s">
        <v>230</v>
      </c>
      <c r="H22">
        <v>100</v>
      </c>
      <c r="I22">
        <f>SUMIF($D$2:D22, D22, $H$2:H22)</f>
        <v>196</v>
      </c>
      <c r="J22" t="s">
        <v>61</v>
      </c>
      <c r="K22">
        <v>18500</v>
      </c>
      <c r="L22">
        <f>ABS(Tabela4[[#This Row],[Quantidade]]*Tabela4[[#This Row],[Valor Unitario]])</f>
        <v>1850000</v>
      </c>
      <c r="M22" t="s">
        <v>237</v>
      </c>
    </row>
    <row r="23" spans="1:13" ht="15" hidden="1" customHeight="1" x14ac:dyDescent="0.25">
      <c r="A23" s="17">
        <v>45767</v>
      </c>
      <c r="B23" t="s">
        <v>360</v>
      </c>
      <c r="C23">
        <v>261</v>
      </c>
      <c r="D23">
        <v>2003</v>
      </c>
      <c r="E23" t="s">
        <v>66</v>
      </c>
      <c r="F23" t="s">
        <v>229</v>
      </c>
      <c r="G23" t="s">
        <v>230</v>
      </c>
      <c r="H23">
        <v>-4</v>
      </c>
      <c r="I23">
        <f>SUMIF($D$2:D23, D23, $H$2:H23)</f>
        <v>-20</v>
      </c>
      <c r="J23" t="s">
        <v>61</v>
      </c>
      <c r="K23">
        <v>12400</v>
      </c>
      <c r="L23">
        <f>ABS(Tabela4[[#This Row],[Quantidade]]*Tabela4[[#This Row],[Valor Unitario]])</f>
        <v>49600</v>
      </c>
      <c r="M23" t="s">
        <v>270</v>
      </c>
    </row>
    <row r="24" spans="1:13" ht="15" hidden="1" customHeight="1" x14ac:dyDescent="0.25">
      <c r="A24" s="17">
        <v>45769</v>
      </c>
      <c r="B24" t="s">
        <v>328</v>
      </c>
      <c r="C24">
        <v>261</v>
      </c>
      <c r="D24">
        <v>2001</v>
      </c>
      <c r="E24" t="s">
        <v>59</v>
      </c>
      <c r="F24" t="s">
        <v>229</v>
      </c>
      <c r="G24" t="s">
        <v>230</v>
      </c>
      <c r="H24">
        <v>-24</v>
      </c>
      <c r="I24">
        <f>SUMIF($D$2:D24, D24, $H$2:H24)</f>
        <v>172</v>
      </c>
      <c r="J24" t="s">
        <v>61</v>
      </c>
      <c r="K24">
        <v>18500</v>
      </c>
      <c r="L24">
        <f>ABS(Tabela4[[#This Row],[Quantidade]]*Tabela4[[#This Row],[Valor Unitario]])</f>
        <v>444000</v>
      </c>
      <c r="M24" t="s">
        <v>238</v>
      </c>
    </row>
    <row r="25" spans="1:13" ht="15" hidden="1" customHeight="1" x14ac:dyDescent="0.25">
      <c r="A25" s="17">
        <v>45770</v>
      </c>
      <c r="B25" t="s">
        <v>344</v>
      </c>
      <c r="C25">
        <v>261</v>
      </c>
      <c r="D25">
        <v>2002</v>
      </c>
      <c r="E25" t="s">
        <v>64</v>
      </c>
      <c r="F25" t="s">
        <v>229</v>
      </c>
      <c r="G25" t="s">
        <v>230</v>
      </c>
      <c r="H25">
        <v>-3</v>
      </c>
      <c r="I25">
        <f>SUMIF($D$2:D25, D25, $H$2:H25)</f>
        <v>223</v>
      </c>
      <c r="J25" t="s">
        <v>61</v>
      </c>
      <c r="K25">
        <v>19800</v>
      </c>
      <c r="L25">
        <f>ABS(Tabela4[[#This Row],[Quantidade]]*Tabela4[[#This Row],[Valor Unitario]])</f>
        <v>59400</v>
      </c>
      <c r="M25" t="s">
        <v>254</v>
      </c>
    </row>
    <row r="26" spans="1:13" ht="15" hidden="1" customHeight="1" x14ac:dyDescent="0.25">
      <c r="A26" s="17">
        <v>45780</v>
      </c>
      <c r="B26" t="s">
        <v>329</v>
      </c>
      <c r="C26">
        <v>101</v>
      </c>
      <c r="D26">
        <v>2001</v>
      </c>
      <c r="E26" t="s">
        <v>59</v>
      </c>
      <c r="F26" t="s">
        <v>229</v>
      </c>
      <c r="G26" t="s">
        <v>230</v>
      </c>
      <c r="H26">
        <v>22</v>
      </c>
      <c r="I26">
        <f>SUMIF($D$2:D26, D26, $H$2:H26)</f>
        <v>194</v>
      </c>
      <c r="J26" t="s">
        <v>61</v>
      </c>
      <c r="K26">
        <v>18500</v>
      </c>
      <c r="L26">
        <f>ABS(Tabela4[[#This Row],[Quantidade]]*Tabela4[[#This Row],[Valor Unitario]])</f>
        <v>407000</v>
      </c>
      <c r="M26" t="s">
        <v>239</v>
      </c>
    </row>
    <row r="27" spans="1:13" ht="15" hidden="1" customHeight="1" x14ac:dyDescent="0.25">
      <c r="A27" s="17">
        <v>45782</v>
      </c>
      <c r="B27" t="s">
        <v>345</v>
      </c>
      <c r="C27">
        <v>101</v>
      </c>
      <c r="D27">
        <v>2002</v>
      </c>
      <c r="E27" t="s">
        <v>64</v>
      </c>
      <c r="F27" t="s">
        <v>229</v>
      </c>
      <c r="G27" t="s">
        <v>230</v>
      </c>
      <c r="H27">
        <v>51</v>
      </c>
      <c r="I27">
        <f>SUMIF($D$2:D27, D27, $H$2:H27)</f>
        <v>274</v>
      </c>
      <c r="J27" t="s">
        <v>61</v>
      </c>
      <c r="K27">
        <v>19800</v>
      </c>
      <c r="L27">
        <f>ABS(Tabela4[[#This Row],[Quantidade]]*Tabela4[[#This Row],[Valor Unitario]])</f>
        <v>1009800</v>
      </c>
      <c r="M27" t="s">
        <v>255</v>
      </c>
    </row>
    <row r="28" spans="1:13" ht="15" hidden="1" customHeight="1" x14ac:dyDescent="0.25">
      <c r="A28" s="17">
        <v>45783</v>
      </c>
      <c r="B28" t="s">
        <v>361</v>
      </c>
      <c r="C28">
        <v>101</v>
      </c>
      <c r="D28">
        <v>2003</v>
      </c>
      <c r="E28" t="s">
        <v>66</v>
      </c>
      <c r="F28" t="s">
        <v>229</v>
      </c>
      <c r="G28" t="s">
        <v>230</v>
      </c>
      <c r="H28">
        <v>93</v>
      </c>
      <c r="I28">
        <f>SUMIF($D$2:D28, D28, $H$2:H28)</f>
        <v>73</v>
      </c>
      <c r="J28" t="s">
        <v>61</v>
      </c>
      <c r="K28">
        <v>12400</v>
      </c>
      <c r="L28">
        <f>ABS(Tabela4[[#This Row],[Quantidade]]*Tabela4[[#This Row],[Valor Unitario]])</f>
        <v>1153200</v>
      </c>
      <c r="M28" t="s">
        <v>271</v>
      </c>
    </row>
    <row r="29" spans="1:13" ht="15" hidden="1" customHeight="1" x14ac:dyDescent="0.25">
      <c r="A29" s="17">
        <v>45793</v>
      </c>
      <c r="B29" t="s">
        <v>330</v>
      </c>
      <c r="C29">
        <v>261</v>
      </c>
      <c r="D29">
        <v>2001</v>
      </c>
      <c r="E29" t="s">
        <v>59</v>
      </c>
      <c r="F29" t="s">
        <v>229</v>
      </c>
      <c r="G29" t="s">
        <v>230</v>
      </c>
      <c r="H29">
        <v>-12</v>
      </c>
      <c r="I29">
        <f>SUMIF($D$2:D29, D29, $H$2:H29)</f>
        <v>182</v>
      </c>
      <c r="J29" t="s">
        <v>61</v>
      </c>
      <c r="K29">
        <v>18500</v>
      </c>
      <c r="L29">
        <f>ABS(Tabela4[[#This Row],[Quantidade]]*Tabela4[[#This Row],[Valor Unitario]])</f>
        <v>222000</v>
      </c>
      <c r="M29" t="s">
        <v>240</v>
      </c>
    </row>
    <row r="30" spans="1:13" ht="15" hidden="1" customHeight="1" x14ac:dyDescent="0.25">
      <c r="A30" s="17">
        <v>45798</v>
      </c>
      <c r="B30" t="s">
        <v>346</v>
      </c>
      <c r="C30">
        <v>261</v>
      </c>
      <c r="D30">
        <v>2002</v>
      </c>
      <c r="E30" t="s">
        <v>64</v>
      </c>
      <c r="F30" t="s">
        <v>229</v>
      </c>
      <c r="G30" t="s">
        <v>230</v>
      </c>
      <c r="H30">
        <v>-21</v>
      </c>
      <c r="I30">
        <f>SUMIF($D$2:D30, D30, $H$2:H30)</f>
        <v>253</v>
      </c>
      <c r="J30" t="s">
        <v>61</v>
      </c>
      <c r="K30">
        <v>19800</v>
      </c>
      <c r="L30">
        <f>ABS(Tabela4[[#This Row],[Quantidade]]*Tabela4[[#This Row],[Valor Unitario]])</f>
        <v>415800</v>
      </c>
      <c r="M30" t="s">
        <v>256</v>
      </c>
    </row>
    <row r="31" spans="1:13" ht="15" hidden="1" customHeight="1" x14ac:dyDescent="0.25">
      <c r="A31" s="17">
        <v>45803</v>
      </c>
      <c r="B31" t="s">
        <v>362</v>
      </c>
      <c r="C31">
        <v>261</v>
      </c>
      <c r="D31">
        <v>2003</v>
      </c>
      <c r="E31" t="s">
        <v>66</v>
      </c>
      <c r="F31" t="s">
        <v>229</v>
      </c>
      <c r="G31" t="s">
        <v>230</v>
      </c>
      <c r="H31">
        <v>-34</v>
      </c>
      <c r="I31">
        <f>SUMIF($D$2:D31, D31, $H$2:H31)</f>
        <v>39</v>
      </c>
      <c r="J31" t="s">
        <v>61</v>
      </c>
      <c r="K31">
        <v>12400</v>
      </c>
      <c r="L31">
        <f>ABS(Tabela4[[#This Row],[Quantidade]]*Tabela4[[#This Row],[Valor Unitario]])</f>
        <v>421600</v>
      </c>
      <c r="M31" t="s">
        <v>272</v>
      </c>
    </row>
    <row r="32" spans="1:13" ht="15" hidden="1" customHeight="1" x14ac:dyDescent="0.25">
      <c r="A32" s="17">
        <v>45817</v>
      </c>
      <c r="B32" t="s">
        <v>347</v>
      </c>
      <c r="C32">
        <v>101</v>
      </c>
      <c r="D32">
        <v>2002</v>
      </c>
      <c r="E32" t="s">
        <v>64</v>
      </c>
      <c r="F32" t="s">
        <v>229</v>
      </c>
      <c r="G32" t="s">
        <v>230</v>
      </c>
      <c r="H32">
        <v>39</v>
      </c>
      <c r="I32">
        <f>SUMIF($D$2:D32, D32, $H$2:H32)</f>
        <v>292</v>
      </c>
      <c r="J32" t="s">
        <v>61</v>
      </c>
      <c r="K32">
        <v>19800</v>
      </c>
      <c r="L32">
        <f>ABS(Tabela4[[#This Row],[Quantidade]]*Tabela4[[#This Row],[Valor Unitario]])</f>
        <v>772200</v>
      </c>
      <c r="M32" t="s">
        <v>257</v>
      </c>
    </row>
    <row r="33" spans="1:13" ht="15" hidden="1" customHeight="1" x14ac:dyDescent="0.25">
      <c r="A33" s="17">
        <v>45818</v>
      </c>
      <c r="B33" t="s">
        <v>363</v>
      </c>
      <c r="C33">
        <v>101</v>
      </c>
      <c r="D33">
        <v>2003</v>
      </c>
      <c r="E33" t="s">
        <v>66</v>
      </c>
      <c r="F33" t="s">
        <v>229</v>
      </c>
      <c r="G33" t="s">
        <v>230</v>
      </c>
      <c r="H33">
        <v>62</v>
      </c>
      <c r="I33">
        <f>SUMIF($D$2:D33, D33, $H$2:H33)</f>
        <v>101</v>
      </c>
      <c r="J33" t="s">
        <v>61</v>
      </c>
      <c r="K33">
        <v>12400</v>
      </c>
      <c r="L33">
        <f>ABS(Tabela4[[#This Row],[Quantidade]]*Tabela4[[#This Row],[Valor Unitario]])</f>
        <v>768800</v>
      </c>
      <c r="M33" t="s">
        <v>273</v>
      </c>
    </row>
    <row r="34" spans="1:13" ht="15" hidden="1" customHeight="1" x14ac:dyDescent="0.25">
      <c r="A34" s="17">
        <v>45820</v>
      </c>
      <c r="B34" t="s">
        <v>331</v>
      </c>
      <c r="C34">
        <v>101</v>
      </c>
      <c r="D34">
        <v>2001</v>
      </c>
      <c r="E34" t="s">
        <v>59</v>
      </c>
      <c r="F34" t="s">
        <v>229</v>
      </c>
      <c r="G34" t="s">
        <v>230</v>
      </c>
      <c r="H34">
        <v>30</v>
      </c>
      <c r="I34">
        <f>SUMIF($D$2:D34, D34, $H$2:H34)</f>
        <v>212</v>
      </c>
      <c r="J34" t="s">
        <v>61</v>
      </c>
      <c r="K34">
        <v>18500</v>
      </c>
      <c r="L34">
        <f>ABS(Tabela4[[#This Row],[Quantidade]]*Tabela4[[#This Row],[Valor Unitario]])</f>
        <v>555000</v>
      </c>
      <c r="M34" t="s">
        <v>241</v>
      </c>
    </row>
    <row r="35" spans="1:13" ht="15" hidden="1" customHeight="1" x14ac:dyDescent="0.25">
      <c r="A35" s="17">
        <v>45824</v>
      </c>
      <c r="B35" t="s">
        <v>348</v>
      </c>
      <c r="C35">
        <v>261</v>
      </c>
      <c r="D35">
        <v>2002</v>
      </c>
      <c r="E35" t="s">
        <v>64</v>
      </c>
      <c r="F35" t="s">
        <v>229</v>
      </c>
      <c r="G35" t="s">
        <v>230</v>
      </c>
      <c r="H35">
        <v>-4</v>
      </c>
      <c r="I35">
        <f>SUMIF($D$2:D35, D35, $H$2:H35)</f>
        <v>288</v>
      </c>
      <c r="J35" t="s">
        <v>61</v>
      </c>
      <c r="K35">
        <v>19800</v>
      </c>
      <c r="L35">
        <f>ABS(Tabela4[[#This Row],[Quantidade]]*Tabela4[[#This Row],[Valor Unitario]])</f>
        <v>79200</v>
      </c>
      <c r="M35" t="s">
        <v>258</v>
      </c>
    </row>
    <row r="36" spans="1:13" ht="15" hidden="1" customHeight="1" x14ac:dyDescent="0.25">
      <c r="A36" s="17">
        <v>45826</v>
      </c>
      <c r="B36" t="s">
        <v>364</v>
      </c>
      <c r="C36">
        <v>261</v>
      </c>
      <c r="D36">
        <v>2003</v>
      </c>
      <c r="E36" t="s">
        <v>66</v>
      </c>
      <c r="F36" t="s">
        <v>229</v>
      </c>
      <c r="G36" t="s">
        <v>230</v>
      </c>
      <c r="H36">
        <v>-14</v>
      </c>
      <c r="I36">
        <f>SUMIF($D$2:D36, D36, $H$2:H36)</f>
        <v>87</v>
      </c>
      <c r="J36" t="s">
        <v>61</v>
      </c>
      <c r="K36">
        <v>12400</v>
      </c>
      <c r="L36">
        <f>ABS(Tabela4[[#This Row],[Quantidade]]*Tabela4[[#This Row],[Valor Unitario]])</f>
        <v>173600</v>
      </c>
      <c r="M36" t="s">
        <v>274</v>
      </c>
    </row>
    <row r="37" spans="1:13" ht="15" hidden="1" customHeight="1" x14ac:dyDescent="0.25">
      <c r="A37" s="17">
        <v>45828</v>
      </c>
      <c r="B37" t="s">
        <v>332</v>
      </c>
      <c r="C37">
        <v>261</v>
      </c>
      <c r="D37">
        <v>2001</v>
      </c>
      <c r="E37" t="s">
        <v>59</v>
      </c>
      <c r="F37" t="s">
        <v>229</v>
      </c>
      <c r="G37" t="s">
        <v>230</v>
      </c>
      <c r="H37">
        <v>-2</v>
      </c>
      <c r="I37">
        <f>SUMIF($D$2:D37, D37, $H$2:H37)</f>
        <v>210</v>
      </c>
      <c r="J37" t="s">
        <v>61</v>
      </c>
      <c r="K37">
        <v>18500</v>
      </c>
      <c r="L37">
        <f>ABS(Tabela4[[#This Row],[Quantidade]]*Tabela4[[#This Row],[Valor Unitario]])</f>
        <v>37000</v>
      </c>
      <c r="M37" t="s">
        <v>242</v>
      </c>
    </row>
    <row r="38" spans="1:13" ht="15" hidden="1" customHeight="1" x14ac:dyDescent="0.25">
      <c r="A38" s="17">
        <v>45846</v>
      </c>
      <c r="B38" t="s">
        <v>365</v>
      </c>
      <c r="C38">
        <v>101</v>
      </c>
      <c r="D38">
        <v>2003</v>
      </c>
      <c r="E38" t="s">
        <v>66</v>
      </c>
      <c r="F38" t="s">
        <v>229</v>
      </c>
      <c r="G38" t="s">
        <v>230</v>
      </c>
      <c r="H38">
        <v>78</v>
      </c>
      <c r="I38">
        <f>SUMIF($D$2:D38, D38, $H$2:H38)</f>
        <v>165</v>
      </c>
      <c r="J38" t="s">
        <v>61</v>
      </c>
      <c r="K38">
        <v>12400</v>
      </c>
      <c r="L38">
        <f>ABS(Tabela4[[#This Row],[Quantidade]]*Tabela4[[#This Row],[Valor Unitario]])</f>
        <v>967200</v>
      </c>
      <c r="M38" t="s">
        <v>275</v>
      </c>
    </row>
    <row r="39" spans="1:13" ht="15" hidden="1" customHeight="1" x14ac:dyDescent="0.25">
      <c r="A39" s="17">
        <v>45847</v>
      </c>
      <c r="B39" t="s">
        <v>349</v>
      </c>
      <c r="C39">
        <v>101</v>
      </c>
      <c r="D39">
        <v>2002</v>
      </c>
      <c r="E39" t="s">
        <v>64</v>
      </c>
      <c r="F39" t="s">
        <v>229</v>
      </c>
      <c r="G39" t="s">
        <v>230</v>
      </c>
      <c r="H39">
        <v>60</v>
      </c>
      <c r="I39">
        <f>SUMIF($D$2:D39, D39, $H$2:H39)</f>
        <v>348</v>
      </c>
      <c r="J39" t="s">
        <v>61</v>
      </c>
      <c r="K39">
        <v>19800</v>
      </c>
      <c r="L39">
        <f>ABS(Tabela4[[#This Row],[Quantidade]]*Tabela4[[#This Row],[Valor Unitario]])</f>
        <v>1188000</v>
      </c>
      <c r="M39" t="s">
        <v>259</v>
      </c>
    </row>
    <row r="40" spans="1:13" ht="15" hidden="1" customHeight="1" x14ac:dyDescent="0.25">
      <c r="A40" s="17">
        <v>45850</v>
      </c>
      <c r="B40" t="s">
        <v>333</v>
      </c>
      <c r="C40">
        <v>101</v>
      </c>
      <c r="D40">
        <v>2001</v>
      </c>
      <c r="E40" t="s">
        <v>59</v>
      </c>
      <c r="F40" t="s">
        <v>229</v>
      </c>
      <c r="G40" t="s">
        <v>230</v>
      </c>
      <c r="H40">
        <v>21</v>
      </c>
      <c r="I40">
        <f>SUMIF($D$2:D40, D40, $H$2:H40)</f>
        <v>231</v>
      </c>
      <c r="J40" t="s">
        <v>61</v>
      </c>
      <c r="K40">
        <v>18500</v>
      </c>
      <c r="L40">
        <f>ABS(Tabela4[[#This Row],[Quantidade]]*Tabela4[[#This Row],[Valor Unitario]])</f>
        <v>388500</v>
      </c>
      <c r="M40" t="s">
        <v>243</v>
      </c>
    </row>
    <row r="41" spans="1:13" ht="15" hidden="1" customHeight="1" x14ac:dyDescent="0.25">
      <c r="A41" s="17">
        <v>45853</v>
      </c>
      <c r="B41" t="s">
        <v>334</v>
      </c>
      <c r="C41">
        <v>261</v>
      </c>
      <c r="D41">
        <v>2001</v>
      </c>
      <c r="E41" t="s">
        <v>59</v>
      </c>
      <c r="F41" t="s">
        <v>229</v>
      </c>
      <c r="G41" t="s">
        <v>230</v>
      </c>
      <c r="H41">
        <v>-15</v>
      </c>
      <c r="I41">
        <f>SUMIF($D$2:D41, D41, $H$2:H41)</f>
        <v>216</v>
      </c>
      <c r="J41" t="s">
        <v>61</v>
      </c>
      <c r="K41">
        <v>18500</v>
      </c>
      <c r="L41">
        <f>ABS(Tabela4[[#This Row],[Quantidade]]*Tabela4[[#This Row],[Valor Unitario]])</f>
        <v>277500</v>
      </c>
      <c r="M41" t="s">
        <v>244</v>
      </c>
    </row>
    <row r="42" spans="1:13" ht="15" hidden="1" customHeight="1" x14ac:dyDescent="0.25">
      <c r="A42" s="17">
        <v>45860</v>
      </c>
      <c r="B42" t="s">
        <v>366</v>
      </c>
      <c r="C42">
        <v>261</v>
      </c>
      <c r="D42">
        <v>2003</v>
      </c>
      <c r="E42" t="s">
        <v>66</v>
      </c>
      <c r="F42" t="s">
        <v>229</v>
      </c>
      <c r="G42" t="s">
        <v>230</v>
      </c>
      <c r="H42">
        <v>-85</v>
      </c>
      <c r="I42">
        <f>SUMIF($D$2:D42, D42, $H$2:H42)</f>
        <v>80</v>
      </c>
      <c r="J42" t="s">
        <v>61</v>
      </c>
      <c r="K42">
        <v>12400</v>
      </c>
      <c r="L42">
        <f>ABS(Tabela4[[#This Row],[Quantidade]]*Tabela4[[#This Row],[Valor Unitario]])</f>
        <v>1054000</v>
      </c>
      <c r="M42" t="s">
        <v>276</v>
      </c>
    </row>
    <row r="43" spans="1:13" ht="15" hidden="1" customHeight="1" x14ac:dyDescent="0.25">
      <c r="A43" s="17">
        <v>45866</v>
      </c>
      <c r="B43" t="s">
        <v>350</v>
      </c>
      <c r="C43">
        <v>261</v>
      </c>
      <c r="D43">
        <v>2002</v>
      </c>
      <c r="E43" t="s">
        <v>64</v>
      </c>
      <c r="F43" t="s">
        <v>229</v>
      </c>
      <c r="G43" t="s">
        <v>230</v>
      </c>
      <c r="H43">
        <v>-9</v>
      </c>
      <c r="I43">
        <f>SUMIF($D$2:D43, D43, $H$2:H43)</f>
        <v>339</v>
      </c>
      <c r="J43" t="s">
        <v>61</v>
      </c>
      <c r="K43">
        <v>19800</v>
      </c>
      <c r="L43">
        <f>ABS(Tabela4[[#This Row],[Quantidade]]*Tabela4[[#This Row],[Valor Unitario]])</f>
        <v>178200</v>
      </c>
      <c r="M43" t="s">
        <v>260</v>
      </c>
    </row>
    <row r="44" spans="1:13" ht="15" hidden="1" customHeight="1" x14ac:dyDescent="0.25">
      <c r="A44" s="17">
        <v>45879</v>
      </c>
      <c r="B44" t="s">
        <v>335</v>
      </c>
      <c r="C44">
        <v>101</v>
      </c>
      <c r="D44">
        <v>2001</v>
      </c>
      <c r="E44" t="s">
        <v>59</v>
      </c>
      <c r="F44" t="s">
        <v>229</v>
      </c>
      <c r="G44" t="s">
        <v>230</v>
      </c>
      <c r="H44">
        <v>22</v>
      </c>
      <c r="I44">
        <f>SUMIF($D$2:D44, D44, $H$2:H44)</f>
        <v>238</v>
      </c>
      <c r="J44" t="s">
        <v>61</v>
      </c>
      <c r="K44">
        <v>18500</v>
      </c>
      <c r="L44">
        <f>ABS(Tabela4[[#This Row],[Quantidade]]*Tabela4[[#This Row],[Valor Unitario]])</f>
        <v>407000</v>
      </c>
      <c r="M44" t="s">
        <v>245</v>
      </c>
    </row>
    <row r="45" spans="1:13" ht="15" hidden="1" customHeight="1" x14ac:dyDescent="0.25">
      <c r="A45" s="17">
        <v>45879</v>
      </c>
      <c r="B45" t="s">
        <v>351</v>
      </c>
      <c r="C45">
        <v>101</v>
      </c>
      <c r="D45">
        <v>2002</v>
      </c>
      <c r="E45" t="s">
        <v>64</v>
      </c>
      <c r="F45" t="s">
        <v>229</v>
      </c>
      <c r="G45" t="s">
        <v>230</v>
      </c>
      <c r="H45">
        <v>53</v>
      </c>
      <c r="I45">
        <f>SUMIF($D$2:D45, D45, $H$2:H45)</f>
        <v>392</v>
      </c>
      <c r="J45" t="s">
        <v>61</v>
      </c>
      <c r="K45">
        <v>19800</v>
      </c>
      <c r="L45">
        <f>ABS(Tabela4[[#This Row],[Quantidade]]*Tabela4[[#This Row],[Valor Unitario]])</f>
        <v>1049400</v>
      </c>
      <c r="M45" t="s">
        <v>261</v>
      </c>
    </row>
    <row r="46" spans="1:13" ht="15" hidden="1" customHeight="1" x14ac:dyDescent="0.25">
      <c r="A46" s="17">
        <v>45882</v>
      </c>
      <c r="B46" t="s">
        <v>367</v>
      </c>
      <c r="C46">
        <v>101</v>
      </c>
      <c r="D46">
        <v>2003</v>
      </c>
      <c r="E46" t="s">
        <v>66</v>
      </c>
      <c r="F46" t="s">
        <v>229</v>
      </c>
      <c r="G46" t="s">
        <v>230</v>
      </c>
      <c r="H46">
        <v>82</v>
      </c>
      <c r="I46">
        <f>SUMIF($D$2:D46, D46, $H$2:H46)</f>
        <v>162</v>
      </c>
      <c r="J46" t="s">
        <v>61</v>
      </c>
      <c r="K46">
        <v>12400</v>
      </c>
      <c r="L46">
        <f>ABS(Tabela4[[#This Row],[Quantidade]]*Tabela4[[#This Row],[Valor Unitario]])</f>
        <v>1016800</v>
      </c>
      <c r="M46" t="s">
        <v>277</v>
      </c>
    </row>
    <row r="47" spans="1:13" ht="15" hidden="1" customHeight="1" x14ac:dyDescent="0.25">
      <c r="A47" s="17">
        <v>45892</v>
      </c>
      <c r="B47" t="s">
        <v>336</v>
      </c>
      <c r="C47">
        <v>261</v>
      </c>
      <c r="D47">
        <v>2001</v>
      </c>
      <c r="E47" t="s">
        <v>59</v>
      </c>
      <c r="F47" t="s">
        <v>229</v>
      </c>
      <c r="G47" t="s">
        <v>230</v>
      </c>
      <c r="H47">
        <v>-14</v>
      </c>
      <c r="I47">
        <f>SUMIF($D$2:D47, D47, $H$2:H47)</f>
        <v>224</v>
      </c>
      <c r="J47" t="s">
        <v>61</v>
      </c>
      <c r="K47">
        <v>18500</v>
      </c>
      <c r="L47">
        <f>ABS(Tabela4[[#This Row],[Quantidade]]*Tabela4[[#This Row],[Valor Unitario]])</f>
        <v>259000</v>
      </c>
      <c r="M47" t="s">
        <v>246</v>
      </c>
    </row>
    <row r="48" spans="1:13" ht="15" hidden="1" customHeight="1" x14ac:dyDescent="0.25">
      <c r="A48" s="17">
        <v>45977</v>
      </c>
      <c r="B48" t="s">
        <v>352</v>
      </c>
      <c r="C48">
        <v>261</v>
      </c>
      <c r="D48">
        <v>2002</v>
      </c>
      <c r="E48" t="s">
        <v>64</v>
      </c>
      <c r="F48" t="s">
        <v>229</v>
      </c>
      <c r="G48" t="s">
        <v>230</v>
      </c>
      <c r="H48">
        <v>-84</v>
      </c>
      <c r="I48">
        <f>SUMIF($D$2:D48, D48, $H$2:H48)</f>
        <v>308</v>
      </c>
      <c r="J48" t="s">
        <v>61</v>
      </c>
      <c r="K48">
        <v>19800</v>
      </c>
      <c r="L48">
        <f>ABS(Tabela4[[#This Row],[Quantidade]]*Tabela4[[#This Row],[Valor Unitario]])</f>
        <v>1663200</v>
      </c>
      <c r="M48" t="s">
        <v>262</v>
      </c>
    </row>
    <row r="49" spans="1:13" ht="15" hidden="1" customHeight="1" x14ac:dyDescent="0.25">
      <c r="A49" s="17">
        <v>46023</v>
      </c>
      <c r="B49" t="s">
        <v>457</v>
      </c>
      <c r="C49">
        <v>101</v>
      </c>
      <c r="D49">
        <v>2008</v>
      </c>
      <c r="E49" t="s">
        <v>78</v>
      </c>
      <c r="F49" t="s">
        <v>229</v>
      </c>
      <c r="G49" t="s">
        <v>230</v>
      </c>
      <c r="H49">
        <v>2</v>
      </c>
      <c r="I49">
        <f>SUMIF($D$2:D49, D49, $H$2:H49)</f>
        <v>2</v>
      </c>
      <c r="J49" t="s">
        <v>61</v>
      </c>
      <c r="K49">
        <v>24500</v>
      </c>
      <c r="L49">
        <f>ABS(Tabela4[[#This Row],[Quantidade]]*Tabela4[[#This Row],[Valor Unitario]])</f>
        <v>49000</v>
      </c>
      <c r="M49" t="s">
        <v>458</v>
      </c>
    </row>
    <row r="50" spans="1:13" ht="15" hidden="1" customHeight="1" x14ac:dyDescent="0.25">
      <c r="A50" s="17">
        <v>46023</v>
      </c>
      <c r="B50" t="s">
        <v>521</v>
      </c>
      <c r="C50">
        <v>101</v>
      </c>
      <c r="D50">
        <v>2010</v>
      </c>
      <c r="E50" t="s">
        <v>82</v>
      </c>
      <c r="F50" t="s">
        <v>229</v>
      </c>
      <c r="G50" t="s">
        <v>230</v>
      </c>
      <c r="H50">
        <v>2</v>
      </c>
      <c r="I50">
        <f>SUMIF($D$2:D50, D50, $H$2:H50)</f>
        <v>2</v>
      </c>
      <c r="J50" t="s">
        <v>61</v>
      </c>
      <c r="K50">
        <v>2150</v>
      </c>
      <c r="L50">
        <f>ABS(Tabela4[[#This Row],[Quantidade]]*Tabela4[[#This Row],[Valor Unitario]])</f>
        <v>4300</v>
      </c>
      <c r="M50" t="s">
        <v>522</v>
      </c>
    </row>
    <row r="51" spans="1:13" ht="15" hidden="1" customHeight="1" x14ac:dyDescent="0.25">
      <c r="A51" s="17">
        <v>46023</v>
      </c>
      <c r="B51" t="s">
        <v>1065</v>
      </c>
      <c r="C51">
        <v>101</v>
      </c>
      <c r="D51">
        <v>5003</v>
      </c>
      <c r="E51" t="s">
        <v>121</v>
      </c>
      <c r="F51" t="s">
        <v>229</v>
      </c>
      <c r="G51" t="s">
        <v>230</v>
      </c>
      <c r="H51">
        <v>54</v>
      </c>
      <c r="I51">
        <f>SUMIF($D$2:D51, D51, $H$2:H51)</f>
        <v>54</v>
      </c>
      <c r="J51" t="s">
        <v>61</v>
      </c>
      <c r="K51">
        <v>8900</v>
      </c>
      <c r="L51">
        <f>ABS(Tabela4[[#This Row],[Quantidade]]*Tabela4[[#This Row],[Valor Unitario]])</f>
        <v>480600</v>
      </c>
      <c r="M51" t="s">
        <v>1066</v>
      </c>
    </row>
    <row r="52" spans="1:13" ht="15" hidden="1" customHeight="1" x14ac:dyDescent="0.25">
      <c r="A52" s="17">
        <v>46025</v>
      </c>
      <c r="B52" t="s">
        <v>809</v>
      </c>
      <c r="C52">
        <v>101</v>
      </c>
      <c r="D52">
        <v>3001</v>
      </c>
      <c r="E52" t="s">
        <v>101</v>
      </c>
      <c r="F52" t="s">
        <v>229</v>
      </c>
      <c r="G52" t="s">
        <v>230</v>
      </c>
      <c r="H52">
        <v>49</v>
      </c>
      <c r="I52">
        <f>SUMIF($D$2:D52, D52, $H$2:H52)</f>
        <v>49</v>
      </c>
      <c r="J52" t="s">
        <v>103</v>
      </c>
      <c r="K52">
        <v>320</v>
      </c>
      <c r="L52">
        <f>ABS(Tabela4[[#This Row],[Quantidade]]*Tabela4[[#This Row],[Valor Unitario]])</f>
        <v>15680</v>
      </c>
      <c r="M52" t="s">
        <v>810</v>
      </c>
    </row>
    <row r="53" spans="1:13" ht="15" hidden="1" customHeight="1" x14ac:dyDescent="0.25">
      <c r="A53" s="17">
        <v>46025</v>
      </c>
      <c r="B53" t="s">
        <v>1417</v>
      </c>
      <c r="C53">
        <v>101</v>
      </c>
      <c r="D53">
        <v>7003</v>
      </c>
      <c r="E53" t="s">
        <v>145</v>
      </c>
      <c r="F53" t="s">
        <v>229</v>
      </c>
      <c r="G53" t="s">
        <v>230</v>
      </c>
      <c r="H53">
        <v>36</v>
      </c>
      <c r="I53">
        <f>SUMIF($D$2:D53, D53, $H$2:H53)</f>
        <v>36</v>
      </c>
      <c r="J53" t="s">
        <v>61</v>
      </c>
      <c r="K53">
        <v>130</v>
      </c>
      <c r="L53">
        <f>ABS(Tabela4[[#This Row],[Quantidade]]*Tabela4[[#This Row],[Valor Unitario]])</f>
        <v>4680</v>
      </c>
      <c r="M53" t="s">
        <v>1418</v>
      </c>
    </row>
    <row r="54" spans="1:13" ht="15" hidden="1" customHeight="1" x14ac:dyDescent="0.25">
      <c r="A54" s="17">
        <v>46026</v>
      </c>
      <c r="B54" t="s">
        <v>745</v>
      </c>
      <c r="C54">
        <v>101</v>
      </c>
      <c r="D54">
        <v>2360</v>
      </c>
      <c r="E54" t="s">
        <v>97</v>
      </c>
      <c r="F54" t="s">
        <v>229</v>
      </c>
      <c r="G54" t="s">
        <v>230</v>
      </c>
      <c r="H54">
        <v>34</v>
      </c>
      <c r="I54">
        <f>SUMIF($D$2:D54, D54, $H$2:H54)</f>
        <v>34</v>
      </c>
      <c r="J54" t="s">
        <v>61</v>
      </c>
      <c r="K54">
        <v>2380</v>
      </c>
      <c r="L54">
        <f>ABS(Tabela4[[#This Row],[Quantidade]]*Tabela4[[#This Row],[Valor Unitario]])</f>
        <v>80920</v>
      </c>
      <c r="M54" t="s">
        <v>746</v>
      </c>
    </row>
    <row r="55" spans="1:13" ht="15" hidden="1" customHeight="1" x14ac:dyDescent="0.25">
      <c r="A55" s="17">
        <v>46026</v>
      </c>
      <c r="B55" t="s">
        <v>1225</v>
      </c>
      <c r="C55">
        <v>101</v>
      </c>
      <c r="D55">
        <v>6001</v>
      </c>
      <c r="E55" t="s">
        <v>131</v>
      </c>
      <c r="F55" t="s">
        <v>229</v>
      </c>
      <c r="G55" t="s">
        <v>230</v>
      </c>
      <c r="H55">
        <v>26</v>
      </c>
      <c r="I55">
        <f>SUMIF($D$2:D55, D55, $H$2:H55)</f>
        <v>26</v>
      </c>
      <c r="J55" t="s">
        <v>61</v>
      </c>
      <c r="K55">
        <v>15800</v>
      </c>
      <c r="L55">
        <f>ABS(Tabela4[[#This Row],[Quantidade]]*Tabela4[[#This Row],[Valor Unitario]])</f>
        <v>410800</v>
      </c>
      <c r="M55" t="s">
        <v>1226</v>
      </c>
    </row>
    <row r="56" spans="1:13" ht="15" hidden="1" customHeight="1" x14ac:dyDescent="0.25">
      <c r="A56" s="17">
        <v>46026</v>
      </c>
      <c r="B56" t="s">
        <v>1385</v>
      </c>
      <c r="C56">
        <v>101</v>
      </c>
      <c r="D56">
        <v>7002</v>
      </c>
      <c r="E56" t="s">
        <v>143</v>
      </c>
      <c r="F56" t="s">
        <v>229</v>
      </c>
      <c r="G56" t="s">
        <v>230</v>
      </c>
      <c r="H56">
        <v>29</v>
      </c>
      <c r="I56">
        <f>SUMIF($D$2:D56, D56, $H$2:H56)</f>
        <v>29</v>
      </c>
      <c r="J56" t="s">
        <v>61</v>
      </c>
      <c r="K56">
        <v>95</v>
      </c>
      <c r="L56">
        <f>ABS(Tabela4[[#This Row],[Quantidade]]*Tabela4[[#This Row],[Valor Unitario]])</f>
        <v>2755</v>
      </c>
      <c r="M56" t="s">
        <v>1386</v>
      </c>
    </row>
    <row r="57" spans="1:13" ht="15" hidden="1" customHeight="1" x14ac:dyDescent="0.25">
      <c r="A57" s="17">
        <v>46027</v>
      </c>
      <c r="B57" t="s">
        <v>401</v>
      </c>
      <c r="C57">
        <v>101</v>
      </c>
      <c r="D57">
        <v>2006</v>
      </c>
      <c r="E57" t="s">
        <v>74</v>
      </c>
      <c r="F57" t="s">
        <v>229</v>
      </c>
      <c r="G57" t="s">
        <v>230</v>
      </c>
      <c r="H57">
        <v>23</v>
      </c>
      <c r="I57">
        <f>SUMIF($D$2:D57, D57, $H$2:H57)</f>
        <v>23</v>
      </c>
      <c r="J57" t="s">
        <v>61</v>
      </c>
      <c r="K57">
        <v>2870</v>
      </c>
      <c r="L57">
        <f>ABS(Tabela4[[#This Row],[Quantidade]]*Tabela4[[#This Row],[Valor Unitario]])</f>
        <v>66010</v>
      </c>
      <c r="M57" t="s">
        <v>311</v>
      </c>
    </row>
    <row r="58" spans="1:13" ht="15" customHeight="1" x14ac:dyDescent="0.25">
      <c r="A58" s="17">
        <v>46027</v>
      </c>
      <c r="B58" t="s">
        <v>713</v>
      </c>
      <c r="C58">
        <v>101</v>
      </c>
      <c r="D58">
        <v>2359</v>
      </c>
      <c r="E58" t="s">
        <v>95</v>
      </c>
      <c r="F58" t="s">
        <v>229</v>
      </c>
      <c r="G58" t="s">
        <v>230</v>
      </c>
      <c r="H58">
        <v>22</v>
      </c>
      <c r="I58">
        <f>SUMIF($D$2:D58, D58, $H$2:H58)</f>
        <v>22</v>
      </c>
      <c r="J58" t="s">
        <v>61</v>
      </c>
      <c r="K58">
        <v>1240</v>
      </c>
      <c r="L58">
        <f>ABS(Tabela4[[#This Row],[Quantidade]]*Tabela4[[#This Row],[Valor Unitario]])</f>
        <v>27280</v>
      </c>
      <c r="M58" t="s">
        <v>714</v>
      </c>
    </row>
    <row r="59" spans="1:13" ht="15" hidden="1" customHeight="1" x14ac:dyDescent="0.25">
      <c r="A59" s="17">
        <v>46027</v>
      </c>
      <c r="B59" t="s">
        <v>1033</v>
      </c>
      <c r="C59">
        <v>101</v>
      </c>
      <c r="D59">
        <v>5002</v>
      </c>
      <c r="E59" t="s">
        <v>119</v>
      </c>
      <c r="F59" t="s">
        <v>229</v>
      </c>
      <c r="G59" t="s">
        <v>230</v>
      </c>
      <c r="H59">
        <v>3</v>
      </c>
      <c r="I59">
        <f>SUMIF($D$2:D59, D59, $H$2:H59)</f>
        <v>3</v>
      </c>
      <c r="J59" t="s">
        <v>61</v>
      </c>
      <c r="K59">
        <v>17800</v>
      </c>
      <c r="L59">
        <f>ABS(Tabela4[[#This Row],[Quantidade]]*Tabela4[[#This Row],[Valor Unitario]])</f>
        <v>53400</v>
      </c>
      <c r="M59" t="s">
        <v>1034</v>
      </c>
    </row>
    <row r="60" spans="1:13" ht="15" hidden="1" customHeight="1" x14ac:dyDescent="0.25">
      <c r="A60" s="17">
        <v>46027</v>
      </c>
      <c r="B60" t="s">
        <v>1321</v>
      </c>
      <c r="C60">
        <v>101</v>
      </c>
      <c r="D60">
        <v>6004</v>
      </c>
      <c r="E60" t="s">
        <v>138</v>
      </c>
      <c r="F60" t="s">
        <v>229</v>
      </c>
      <c r="G60" t="s">
        <v>230</v>
      </c>
      <c r="H60">
        <v>75</v>
      </c>
      <c r="I60">
        <f>SUMIF($D$2:D60, D60, $H$2:H60)</f>
        <v>75</v>
      </c>
      <c r="J60" t="s">
        <v>61</v>
      </c>
      <c r="K60">
        <v>2650</v>
      </c>
      <c r="L60">
        <f>ABS(Tabela4[[#This Row],[Quantidade]]*Tabela4[[#This Row],[Valor Unitario]])</f>
        <v>198750</v>
      </c>
      <c r="M60" t="s">
        <v>1322</v>
      </c>
    </row>
    <row r="61" spans="1:13" ht="15" hidden="1" customHeight="1" x14ac:dyDescent="0.25">
      <c r="A61" s="17">
        <v>46027</v>
      </c>
      <c r="B61" t="s">
        <v>1449</v>
      </c>
      <c r="C61">
        <v>101</v>
      </c>
      <c r="D61">
        <v>8001</v>
      </c>
      <c r="E61" t="s">
        <v>147</v>
      </c>
      <c r="F61" t="s">
        <v>229</v>
      </c>
      <c r="G61" t="s">
        <v>230</v>
      </c>
      <c r="H61">
        <v>37</v>
      </c>
      <c r="I61">
        <f>SUMIF($D$2:D61, D61, $H$2:H61)</f>
        <v>37</v>
      </c>
      <c r="J61" t="s">
        <v>149</v>
      </c>
      <c r="K61">
        <v>28</v>
      </c>
      <c r="L61">
        <f>ABS(Tabela4[[#This Row],[Quantidade]]*Tabela4[[#This Row],[Valor Unitario]])</f>
        <v>1036</v>
      </c>
      <c r="M61" t="s">
        <v>1450</v>
      </c>
    </row>
    <row r="62" spans="1:13" ht="15" hidden="1" customHeight="1" x14ac:dyDescent="0.25">
      <c r="A62" s="17">
        <v>46027</v>
      </c>
      <c r="B62" t="s">
        <v>1609</v>
      </c>
      <c r="C62">
        <v>101</v>
      </c>
      <c r="D62">
        <v>9004</v>
      </c>
      <c r="E62" t="s">
        <v>161</v>
      </c>
      <c r="F62" t="s">
        <v>229</v>
      </c>
      <c r="G62" t="s">
        <v>230</v>
      </c>
      <c r="H62">
        <v>20</v>
      </c>
      <c r="I62">
        <f>SUMIF($D$2:D62, D62, $H$2:H62)</f>
        <v>20</v>
      </c>
      <c r="J62" t="s">
        <v>61</v>
      </c>
      <c r="K62">
        <v>45</v>
      </c>
      <c r="L62">
        <f>ABS(Tabela4[[#This Row],[Quantidade]]*Tabela4[[#This Row],[Valor Unitario]])</f>
        <v>900</v>
      </c>
      <c r="M62" t="s">
        <v>1610</v>
      </c>
    </row>
    <row r="63" spans="1:13" ht="15" hidden="1" customHeight="1" x14ac:dyDescent="0.25">
      <c r="A63" s="17">
        <v>46028</v>
      </c>
      <c r="B63" t="s">
        <v>681</v>
      </c>
      <c r="C63">
        <v>101</v>
      </c>
      <c r="D63">
        <v>2358</v>
      </c>
      <c r="E63" t="s">
        <v>93</v>
      </c>
      <c r="F63" t="s">
        <v>229</v>
      </c>
      <c r="G63" t="s">
        <v>230</v>
      </c>
      <c r="H63">
        <v>96</v>
      </c>
      <c r="I63">
        <f>SUMIF($D$2:D63, D63, $H$2:H63)</f>
        <v>96</v>
      </c>
      <c r="J63" t="s">
        <v>61</v>
      </c>
      <c r="K63">
        <v>890</v>
      </c>
      <c r="L63">
        <f>ABS(Tabela4[[#This Row],[Quantidade]]*Tabela4[[#This Row],[Valor Unitario]])</f>
        <v>85440</v>
      </c>
      <c r="M63" t="s">
        <v>682</v>
      </c>
    </row>
    <row r="64" spans="1:13" ht="15" hidden="1" customHeight="1" x14ac:dyDescent="0.25">
      <c r="A64" s="17">
        <v>46028</v>
      </c>
      <c r="B64" t="s">
        <v>1257</v>
      </c>
      <c r="C64">
        <v>101</v>
      </c>
      <c r="D64">
        <v>6002</v>
      </c>
      <c r="E64" t="s">
        <v>134</v>
      </c>
      <c r="F64" t="s">
        <v>229</v>
      </c>
      <c r="G64" t="s">
        <v>230</v>
      </c>
      <c r="H64">
        <v>94</v>
      </c>
      <c r="I64">
        <f>SUMIF($D$2:D64, D64, $H$2:H64)</f>
        <v>94</v>
      </c>
      <c r="J64" t="s">
        <v>61</v>
      </c>
      <c r="K64">
        <v>6900</v>
      </c>
      <c r="L64">
        <f>ABS(Tabela4[[#This Row],[Quantidade]]*Tabela4[[#This Row],[Valor Unitario]])</f>
        <v>648600</v>
      </c>
      <c r="M64" t="s">
        <v>1258</v>
      </c>
    </row>
    <row r="65" spans="1:13" ht="15" hidden="1" customHeight="1" x14ac:dyDescent="0.25">
      <c r="A65" s="17">
        <v>46028</v>
      </c>
      <c r="B65" t="s">
        <v>1545</v>
      </c>
      <c r="C65">
        <v>101</v>
      </c>
      <c r="D65">
        <v>9002</v>
      </c>
      <c r="E65" t="s">
        <v>157</v>
      </c>
      <c r="F65" t="s">
        <v>229</v>
      </c>
      <c r="G65" t="s">
        <v>230</v>
      </c>
      <c r="H65">
        <v>92</v>
      </c>
      <c r="I65">
        <f>SUMIF($D$2:D65, D65, $H$2:H65)</f>
        <v>92</v>
      </c>
      <c r="J65" t="s">
        <v>61</v>
      </c>
      <c r="K65">
        <v>6.5</v>
      </c>
      <c r="L65">
        <f>ABS(Tabela4[[#This Row],[Quantidade]]*Tabela4[[#This Row],[Valor Unitario]])</f>
        <v>598</v>
      </c>
      <c r="M65" t="s">
        <v>1546</v>
      </c>
    </row>
    <row r="66" spans="1:13" ht="15" hidden="1" customHeight="1" x14ac:dyDescent="0.25">
      <c r="A66" s="17">
        <v>46029</v>
      </c>
      <c r="B66" t="s">
        <v>385</v>
      </c>
      <c r="C66">
        <v>101</v>
      </c>
      <c r="D66">
        <v>2005</v>
      </c>
      <c r="E66" t="s">
        <v>71</v>
      </c>
      <c r="F66" t="s">
        <v>229</v>
      </c>
      <c r="G66" t="s">
        <v>230</v>
      </c>
      <c r="H66">
        <v>23</v>
      </c>
      <c r="I66">
        <f>SUMIF($D$2:D66, D66, $H$2:H66)</f>
        <v>23</v>
      </c>
      <c r="J66" t="s">
        <v>61</v>
      </c>
      <c r="K66">
        <v>3450</v>
      </c>
      <c r="L66">
        <f>ABS(Tabela4[[#This Row],[Quantidade]]*Tabela4[[#This Row],[Valor Unitario]])</f>
        <v>79350</v>
      </c>
      <c r="M66" t="s">
        <v>295</v>
      </c>
    </row>
    <row r="67" spans="1:13" ht="15" hidden="1" customHeight="1" x14ac:dyDescent="0.25">
      <c r="A67" s="17">
        <v>46029</v>
      </c>
      <c r="B67" t="s">
        <v>617</v>
      </c>
      <c r="C67">
        <v>101</v>
      </c>
      <c r="D67">
        <v>2356</v>
      </c>
      <c r="E67" t="s">
        <v>88</v>
      </c>
      <c r="F67" t="s">
        <v>229</v>
      </c>
      <c r="G67" t="s">
        <v>230</v>
      </c>
      <c r="H67">
        <v>33</v>
      </c>
      <c r="I67">
        <f>SUMIF($D$2:D67, D67, $H$2:H67)</f>
        <v>33</v>
      </c>
      <c r="J67" t="s">
        <v>61</v>
      </c>
      <c r="K67">
        <v>145</v>
      </c>
      <c r="L67">
        <f>ABS(Tabela4[[#This Row],[Quantidade]]*Tabela4[[#This Row],[Valor Unitario]])</f>
        <v>4785</v>
      </c>
      <c r="M67" t="s">
        <v>618</v>
      </c>
    </row>
    <row r="68" spans="1:13" ht="15" hidden="1" customHeight="1" x14ac:dyDescent="0.25">
      <c r="A68" s="17">
        <v>46029</v>
      </c>
      <c r="B68" t="s">
        <v>1353</v>
      </c>
      <c r="C68">
        <v>101</v>
      </c>
      <c r="D68">
        <v>7001</v>
      </c>
      <c r="E68" t="s">
        <v>140</v>
      </c>
      <c r="F68" t="s">
        <v>229</v>
      </c>
      <c r="G68" t="s">
        <v>230</v>
      </c>
      <c r="H68">
        <v>14</v>
      </c>
      <c r="I68">
        <f>SUMIF($D$2:D68, D68, $H$2:H68)</f>
        <v>14</v>
      </c>
      <c r="J68" t="s">
        <v>61</v>
      </c>
      <c r="K68">
        <v>210</v>
      </c>
      <c r="L68">
        <f>ABS(Tabela4[[#This Row],[Quantidade]]*Tabela4[[#This Row],[Valor Unitario]])</f>
        <v>2940</v>
      </c>
      <c r="M68" t="s">
        <v>1354</v>
      </c>
    </row>
    <row r="69" spans="1:13" ht="15" hidden="1" customHeight="1" x14ac:dyDescent="0.25">
      <c r="A69" s="17">
        <v>46030</v>
      </c>
      <c r="B69" t="s">
        <v>969</v>
      </c>
      <c r="C69">
        <v>101</v>
      </c>
      <c r="D69">
        <v>4002</v>
      </c>
      <c r="E69" t="s">
        <v>114</v>
      </c>
      <c r="F69" t="s">
        <v>229</v>
      </c>
      <c r="G69" t="s">
        <v>230</v>
      </c>
      <c r="H69">
        <v>28</v>
      </c>
      <c r="I69">
        <f>SUMIF($D$2:D69, D69, $H$2:H69)</f>
        <v>28</v>
      </c>
      <c r="J69" t="s">
        <v>61</v>
      </c>
      <c r="K69">
        <v>4100</v>
      </c>
      <c r="L69">
        <f>ABS(Tabela4[[#This Row],[Quantidade]]*Tabela4[[#This Row],[Valor Unitario]])</f>
        <v>114800</v>
      </c>
      <c r="M69" t="s">
        <v>970</v>
      </c>
    </row>
    <row r="70" spans="1:13" ht="15" hidden="1" customHeight="1" x14ac:dyDescent="0.25">
      <c r="A70" s="17">
        <v>46030</v>
      </c>
      <c r="B70" t="s">
        <v>1129</v>
      </c>
      <c r="C70">
        <v>101</v>
      </c>
      <c r="D70">
        <v>5005</v>
      </c>
      <c r="E70" t="s">
        <v>125</v>
      </c>
      <c r="F70" t="s">
        <v>229</v>
      </c>
      <c r="G70" t="s">
        <v>230</v>
      </c>
      <c r="H70">
        <v>4</v>
      </c>
      <c r="I70">
        <f>SUMIF($D$2:D70, D70, $H$2:H70)</f>
        <v>4</v>
      </c>
      <c r="J70" t="s">
        <v>61</v>
      </c>
      <c r="K70">
        <v>780</v>
      </c>
      <c r="L70">
        <f>ABS(Tabela4[[#This Row],[Quantidade]]*Tabela4[[#This Row],[Valor Unitario]])</f>
        <v>3120</v>
      </c>
      <c r="M70" t="s">
        <v>1130</v>
      </c>
    </row>
    <row r="71" spans="1:13" ht="15" hidden="1" customHeight="1" x14ac:dyDescent="0.25">
      <c r="A71" s="17">
        <v>46031</v>
      </c>
      <c r="B71" t="s">
        <v>553</v>
      </c>
      <c r="C71">
        <v>101</v>
      </c>
      <c r="D71">
        <v>2011</v>
      </c>
      <c r="E71" t="s">
        <v>84</v>
      </c>
      <c r="F71" t="s">
        <v>229</v>
      </c>
      <c r="G71" t="s">
        <v>230</v>
      </c>
      <c r="H71">
        <v>93</v>
      </c>
      <c r="I71">
        <f>SUMIF($D$2:D71, D71, $H$2:H71)</f>
        <v>93</v>
      </c>
      <c r="J71" t="s">
        <v>61</v>
      </c>
      <c r="K71">
        <v>9800</v>
      </c>
      <c r="L71">
        <f>ABS(Tabela4[[#This Row],[Quantidade]]*Tabela4[[#This Row],[Valor Unitario]])</f>
        <v>911400</v>
      </c>
      <c r="M71" t="s">
        <v>554</v>
      </c>
    </row>
    <row r="72" spans="1:13" ht="15" hidden="1" customHeight="1" x14ac:dyDescent="0.25">
      <c r="A72" s="17">
        <v>46031</v>
      </c>
      <c r="B72" t="s">
        <v>873</v>
      </c>
      <c r="C72">
        <v>101</v>
      </c>
      <c r="D72">
        <v>3003</v>
      </c>
      <c r="E72" t="s">
        <v>107</v>
      </c>
      <c r="F72" t="s">
        <v>229</v>
      </c>
      <c r="G72" t="s">
        <v>230</v>
      </c>
      <c r="H72">
        <v>74</v>
      </c>
      <c r="I72">
        <f>SUMIF($D$2:D72, D72, $H$2:H72)</f>
        <v>74</v>
      </c>
      <c r="J72" t="s">
        <v>61</v>
      </c>
      <c r="K72">
        <v>2450</v>
      </c>
      <c r="L72">
        <f>ABS(Tabela4[[#This Row],[Quantidade]]*Tabela4[[#This Row],[Valor Unitario]])</f>
        <v>181300</v>
      </c>
      <c r="M72" t="s">
        <v>874</v>
      </c>
    </row>
    <row r="73" spans="1:13" ht="15" hidden="1" customHeight="1" x14ac:dyDescent="0.25">
      <c r="A73" s="17">
        <v>46031</v>
      </c>
      <c r="B73" t="s">
        <v>1161</v>
      </c>
      <c r="C73">
        <v>101</v>
      </c>
      <c r="D73">
        <v>5006</v>
      </c>
      <c r="E73" t="s">
        <v>127</v>
      </c>
      <c r="F73" t="s">
        <v>229</v>
      </c>
      <c r="G73" t="s">
        <v>230</v>
      </c>
      <c r="H73">
        <v>47</v>
      </c>
      <c r="I73">
        <f>SUMIF($D$2:D73, D73, $H$2:H73)</f>
        <v>47</v>
      </c>
      <c r="J73" t="s">
        <v>103</v>
      </c>
      <c r="K73">
        <v>22</v>
      </c>
      <c r="L73">
        <f>ABS(Tabela4[[#This Row],[Quantidade]]*Tabela4[[#This Row],[Valor Unitario]])</f>
        <v>1034</v>
      </c>
      <c r="M73" t="s">
        <v>1162</v>
      </c>
    </row>
    <row r="74" spans="1:13" ht="15" hidden="1" customHeight="1" x14ac:dyDescent="0.25">
      <c r="A74" s="17">
        <v>46031</v>
      </c>
      <c r="B74" t="s">
        <v>1481</v>
      </c>
      <c r="C74">
        <v>101</v>
      </c>
      <c r="D74">
        <v>8002</v>
      </c>
      <c r="E74" t="s">
        <v>151</v>
      </c>
      <c r="F74" t="s">
        <v>229</v>
      </c>
      <c r="G74" t="s">
        <v>230</v>
      </c>
      <c r="H74">
        <v>74</v>
      </c>
      <c r="I74">
        <f>SUMIF($D$2:D74, D74, $H$2:H74)</f>
        <v>74</v>
      </c>
      <c r="J74" t="s">
        <v>152</v>
      </c>
      <c r="K74">
        <v>32</v>
      </c>
      <c r="L74">
        <f>ABS(Tabela4[[#This Row],[Quantidade]]*Tabela4[[#This Row],[Valor Unitario]])</f>
        <v>2368</v>
      </c>
      <c r="M74" t="s">
        <v>1482</v>
      </c>
    </row>
    <row r="75" spans="1:13" ht="15" hidden="1" customHeight="1" x14ac:dyDescent="0.25">
      <c r="A75" s="17">
        <v>46032</v>
      </c>
      <c r="B75" t="s">
        <v>369</v>
      </c>
      <c r="C75">
        <v>101</v>
      </c>
      <c r="D75">
        <v>2004</v>
      </c>
      <c r="E75" t="s">
        <v>69</v>
      </c>
      <c r="F75" t="s">
        <v>229</v>
      </c>
      <c r="G75" t="s">
        <v>230</v>
      </c>
      <c r="H75">
        <v>89</v>
      </c>
      <c r="I75">
        <f>SUMIF($D$2:D75, D75, $H$2:H75)</f>
        <v>89</v>
      </c>
      <c r="J75" t="s">
        <v>61</v>
      </c>
      <c r="K75">
        <v>11800</v>
      </c>
      <c r="L75">
        <f>ABS(Tabela4[[#This Row],[Quantidade]]*Tabela4[[#This Row],[Valor Unitario]])</f>
        <v>1050200</v>
      </c>
      <c r="M75" t="s">
        <v>279</v>
      </c>
    </row>
    <row r="76" spans="1:13" ht="15" hidden="1" customHeight="1" x14ac:dyDescent="0.25">
      <c r="A76" s="17">
        <v>46032</v>
      </c>
      <c r="B76" t="s">
        <v>777</v>
      </c>
      <c r="C76">
        <v>101</v>
      </c>
      <c r="D76">
        <v>2361</v>
      </c>
      <c r="E76" t="s">
        <v>99</v>
      </c>
      <c r="F76" t="s">
        <v>229</v>
      </c>
      <c r="G76" t="s">
        <v>230</v>
      </c>
      <c r="H76">
        <v>43</v>
      </c>
      <c r="I76">
        <f>SUMIF($D$2:D76, D76, $H$2:H76)</f>
        <v>43</v>
      </c>
      <c r="J76" t="s">
        <v>61</v>
      </c>
      <c r="K76">
        <v>68</v>
      </c>
      <c r="L76">
        <f>ABS(Tabela4[[#This Row],[Quantidade]]*Tabela4[[#This Row],[Valor Unitario]])</f>
        <v>2924</v>
      </c>
      <c r="M76" t="s">
        <v>778</v>
      </c>
    </row>
    <row r="77" spans="1:13" ht="15" hidden="1" customHeight="1" x14ac:dyDescent="0.25">
      <c r="A77" s="17">
        <v>46032</v>
      </c>
      <c r="B77" t="s">
        <v>937</v>
      </c>
      <c r="C77">
        <v>101</v>
      </c>
      <c r="D77">
        <v>4001</v>
      </c>
      <c r="E77" t="s">
        <v>111</v>
      </c>
      <c r="F77" t="s">
        <v>229</v>
      </c>
      <c r="G77" t="s">
        <v>230</v>
      </c>
      <c r="H77">
        <v>44</v>
      </c>
      <c r="I77">
        <f>SUMIF($D$2:D77, D77, $H$2:H77)</f>
        <v>44</v>
      </c>
      <c r="J77" t="s">
        <v>61</v>
      </c>
      <c r="K77">
        <v>3200</v>
      </c>
      <c r="L77">
        <f>ABS(Tabela4[[#This Row],[Quantidade]]*Tabela4[[#This Row],[Valor Unitario]])</f>
        <v>140800</v>
      </c>
      <c r="M77" t="s">
        <v>938</v>
      </c>
    </row>
    <row r="78" spans="1:13" ht="15" hidden="1" customHeight="1" x14ac:dyDescent="0.25">
      <c r="A78" s="17">
        <v>46032</v>
      </c>
      <c r="B78" t="s">
        <v>1001</v>
      </c>
      <c r="C78">
        <v>101</v>
      </c>
      <c r="D78">
        <v>5001</v>
      </c>
      <c r="E78" t="s">
        <v>116</v>
      </c>
      <c r="F78" t="s">
        <v>229</v>
      </c>
      <c r="G78" t="s">
        <v>230</v>
      </c>
      <c r="H78">
        <v>56</v>
      </c>
      <c r="I78">
        <f>SUMIF($D$2:D78, D78, $H$2:H78)</f>
        <v>56</v>
      </c>
      <c r="J78" t="s">
        <v>61</v>
      </c>
      <c r="K78">
        <v>32500</v>
      </c>
      <c r="L78">
        <f>ABS(Tabela4[[#This Row],[Quantidade]]*Tabela4[[#This Row],[Valor Unitario]])</f>
        <v>1820000</v>
      </c>
      <c r="M78" t="s">
        <v>1002</v>
      </c>
    </row>
    <row r="79" spans="1:13" ht="15" hidden="1" customHeight="1" x14ac:dyDescent="0.25">
      <c r="A79" s="17">
        <v>46033</v>
      </c>
      <c r="B79" t="s">
        <v>585</v>
      </c>
      <c r="C79">
        <v>101</v>
      </c>
      <c r="D79">
        <v>2012</v>
      </c>
      <c r="E79" t="s">
        <v>86</v>
      </c>
      <c r="F79" t="s">
        <v>229</v>
      </c>
      <c r="G79" t="s">
        <v>230</v>
      </c>
      <c r="H79">
        <v>27</v>
      </c>
      <c r="I79">
        <f>SUMIF($D$2:D79, D79, $H$2:H79)</f>
        <v>27</v>
      </c>
      <c r="J79" t="s">
        <v>61</v>
      </c>
      <c r="K79">
        <v>5400</v>
      </c>
      <c r="L79">
        <f>ABS(Tabela4[[#This Row],[Quantidade]]*Tabela4[[#This Row],[Valor Unitario]])</f>
        <v>145800</v>
      </c>
      <c r="M79" t="s">
        <v>586</v>
      </c>
    </row>
    <row r="80" spans="1:13" ht="15" hidden="1" customHeight="1" x14ac:dyDescent="0.25">
      <c r="A80" s="17">
        <v>46033</v>
      </c>
      <c r="B80" t="s">
        <v>1289</v>
      </c>
      <c r="C80">
        <v>101</v>
      </c>
      <c r="D80">
        <v>6003</v>
      </c>
      <c r="E80" t="s">
        <v>136</v>
      </c>
      <c r="F80" t="s">
        <v>229</v>
      </c>
      <c r="G80" t="s">
        <v>230</v>
      </c>
      <c r="H80">
        <v>3</v>
      </c>
      <c r="I80">
        <f>SUMIF($D$2:D80, D80, $H$2:H80)</f>
        <v>3</v>
      </c>
      <c r="J80" t="s">
        <v>103</v>
      </c>
      <c r="K80">
        <v>85</v>
      </c>
      <c r="L80">
        <f>ABS(Tabela4[[#This Row],[Quantidade]]*Tabela4[[#This Row],[Valor Unitario]])</f>
        <v>255</v>
      </c>
      <c r="M80" t="s">
        <v>1290</v>
      </c>
    </row>
    <row r="81" spans="1:13" ht="15" hidden="1" customHeight="1" x14ac:dyDescent="0.25">
      <c r="A81" s="17">
        <v>46034</v>
      </c>
      <c r="B81" t="s">
        <v>489</v>
      </c>
      <c r="C81">
        <v>101</v>
      </c>
      <c r="D81">
        <v>2009</v>
      </c>
      <c r="E81" t="s">
        <v>80</v>
      </c>
      <c r="F81" t="s">
        <v>229</v>
      </c>
      <c r="G81" t="s">
        <v>230</v>
      </c>
      <c r="H81">
        <v>59</v>
      </c>
      <c r="I81">
        <f>SUMIF($D$2:D81, D81, $H$2:H81)</f>
        <v>59</v>
      </c>
      <c r="J81" t="s">
        <v>61</v>
      </c>
      <c r="K81">
        <v>1650</v>
      </c>
      <c r="L81">
        <f>ABS(Tabela4[[#This Row],[Quantidade]]*Tabela4[[#This Row],[Valor Unitario]])</f>
        <v>97350</v>
      </c>
      <c r="M81" t="s">
        <v>490</v>
      </c>
    </row>
    <row r="82" spans="1:13" ht="15" hidden="1" customHeight="1" x14ac:dyDescent="0.25">
      <c r="A82" s="17">
        <v>46034</v>
      </c>
      <c r="B82" t="s">
        <v>841</v>
      </c>
      <c r="C82">
        <v>101</v>
      </c>
      <c r="D82">
        <v>3002</v>
      </c>
      <c r="E82" t="s">
        <v>105</v>
      </c>
      <c r="F82" t="s">
        <v>229</v>
      </c>
      <c r="G82" t="s">
        <v>230</v>
      </c>
      <c r="H82">
        <v>9</v>
      </c>
      <c r="I82">
        <f>SUMIF($D$2:D82, D82, $H$2:H82)</f>
        <v>9</v>
      </c>
      <c r="J82" t="s">
        <v>61</v>
      </c>
      <c r="K82">
        <v>95</v>
      </c>
      <c r="L82">
        <f>ABS(Tabela4[[#This Row],[Quantidade]]*Tabela4[[#This Row],[Valor Unitario]])</f>
        <v>855</v>
      </c>
      <c r="M82" t="s">
        <v>842</v>
      </c>
    </row>
    <row r="83" spans="1:13" ht="15" hidden="1" customHeight="1" x14ac:dyDescent="0.25">
      <c r="A83" s="17">
        <v>46034</v>
      </c>
      <c r="B83" t="s">
        <v>905</v>
      </c>
      <c r="C83">
        <v>101</v>
      </c>
      <c r="D83">
        <v>3004</v>
      </c>
      <c r="E83" t="s">
        <v>109</v>
      </c>
      <c r="F83" t="s">
        <v>229</v>
      </c>
      <c r="G83" t="s">
        <v>230</v>
      </c>
      <c r="H83">
        <v>54</v>
      </c>
      <c r="I83">
        <f>SUMIF($D$2:D83, D83, $H$2:H83)</f>
        <v>54</v>
      </c>
      <c r="J83" t="s">
        <v>61</v>
      </c>
      <c r="K83">
        <v>2180</v>
      </c>
      <c r="L83">
        <f>ABS(Tabela4[[#This Row],[Quantidade]]*Tabela4[[#This Row],[Valor Unitario]])</f>
        <v>117720</v>
      </c>
      <c r="M83" t="s">
        <v>906</v>
      </c>
    </row>
    <row r="84" spans="1:13" ht="15" hidden="1" customHeight="1" x14ac:dyDescent="0.25">
      <c r="A84" s="17">
        <v>46034</v>
      </c>
      <c r="B84" t="s">
        <v>1097</v>
      </c>
      <c r="C84">
        <v>101</v>
      </c>
      <c r="D84">
        <v>5004</v>
      </c>
      <c r="E84" t="s">
        <v>123</v>
      </c>
      <c r="F84" t="s">
        <v>229</v>
      </c>
      <c r="G84" t="s">
        <v>230</v>
      </c>
      <c r="H84">
        <v>30</v>
      </c>
      <c r="I84">
        <f>SUMIF($D$2:D84, D84, $H$2:H84)</f>
        <v>30</v>
      </c>
      <c r="J84" t="s">
        <v>61</v>
      </c>
      <c r="K84">
        <v>1350</v>
      </c>
      <c r="L84">
        <f>ABS(Tabela4[[#This Row],[Quantidade]]*Tabela4[[#This Row],[Valor Unitario]])</f>
        <v>40500</v>
      </c>
      <c r="M84" t="s">
        <v>1098</v>
      </c>
    </row>
    <row r="85" spans="1:13" ht="15" hidden="1" customHeight="1" x14ac:dyDescent="0.25">
      <c r="A85" s="17">
        <v>46034</v>
      </c>
      <c r="B85" t="s">
        <v>1513</v>
      </c>
      <c r="C85">
        <v>101</v>
      </c>
      <c r="D85">
        <v>9001</v>
      </c>
      <c r="E85" t="s">
        <v>154</v>
      </c>
      <c r="F85" t="s">
        <v>229</v>
      </c>
      <c r="G85" t="s">
        <v>230</v>
      </c>
      <c r="H85">
        <v>85</v>
      </c>
      <c r="I85">
        <f>SUMIF($D$2:D85, D85, $H$2:H85)</f>
        <v>85</v>
      </c>
      <c r="J85" t="s">
        <v>61</v>
      </c>
      <c r="K85">
        <v>18</v>
      </c>
      <c r="L85">
        <f>ABS(Tabela4[[#This Row],[Quantidade]]*Tabela4[[#This Row],[Valor Unitario]])</f>
        <v>1530</v>
      </c>
      <c r="M85" t="s">
        <v>1514</v>
      </c>
    </row>
    <row r="86" spans="1:13" ht="15" hidden="1" customHeight="1" x14ac:dyDescent="0.25">
      <c r="A86" s="17">
        <v>46034</v>
      </c>
      <c r="B86" t="s">
        <v>1577</v>
      </c>
      <c r="C86">
        <v>101</v>
      </c>
      <c r="D86">
        <v>9003</v>
      </c>
      <c r="E86" t="s">
        <v>159</v>
      </c>
      <c r="F86" t="s">
        <v>229</v>
      </c>
      <c r="G86" t="s">
        <v>230</v>
      </c>
      <c r="H86">
        <v>8</v>
      </c>
      <c r="I86">
        <f>SUMIF($D$2:D86, D86, $H$2:H86)</f>
        <v>8</v>
      </c>
      <c r="J86" t="s">
        <v>61</v>
      </c>
      <c r="K86">
        <v>2.2000000000000002</v>
      </c>
      <c r="L86">
        <f>ABS(Tabela4[[#This Row],[Quantidade]]*Tabela4[[#This Row],[Valor Unitario]])</f>
        <v>17.600000000000001</v>
      </c>
      <c r="M86" t="s">
        <v>1578</v>
      </c>
    </row>
    <row r="87" spans="1:13" ht="15" hidden="1" customHeight="1" x14ac:dyDescent="0.25">
      <c r="A87" s="17">
        <v>46035</v>
      </c>
      <c r="B87" t="s">
        <v>649</v>
      </c>
      <c r="C87">
        <v>101</v>
      </c>
      <c r="D87">
        <v>2357</v>
      </c>
      <c r="E87" t="s">
        <v>91</v>
      </c>
      <c r="F87" t="s">
        <v>229</v>
      </c>
      <c r="G87" t="s">
        <v>230</v>
      </c>
      <c r="H87">
        <v>60</v>
      </c>
      <c r="I87">
        <f>SUMIF($D$2:D87, D87, $H$2:H87)</f>
        <v>60</v>
      </c>
      <c r="J87" t="s">
        <v>61</v>
      </c>
      <c r="K87">
        <v>210</v>
      </c>
      <c r="L87">
        <f>ABS(Tabela4[[#This Row],[Quantidade]]*Tabela4[[#This Row],[Valor Unitario]])</f>
        <v>12600</v>
      </c>
      <c r="M87" t="s">
        <v>650</v>
      </c>
    </row>
    <row r="88" spans="1:13" ht="15" hidden="1" customHeight="1" x14ac:dyDescent="0.25">
      <c r="A88" s="17">
        <v>46035</v>
      </c>
      <c r="B88" t="s">
        <v>1641</v>
      </c>
      <c r="C88">
        <v>101</v>
      </c>
      <c r="D88">
        <v>9005</v>
      </c>
      <c r="E88" t="s">
        <v>163</v>
      </c>
      <c r="F88" t="s">
        <v>229</v>
      </c>
      <c r="G88" t="s">
        <v>230</v>
      </c>
      <c r="H88">
        <v>25</v>
      </c>
      <c r="I88">
        <f>SUMIF($D$2:D88, D88, $H$2:H88)</f>
        <v>25</v>
      </c>
      <c r="J88" t="s">
        <v>61</v>
      </c>
      <c r="K88">
        <v>8.9</v>
      </c>
      <c r="L88">
        <f>ABS(Tabela4[[#This Row],[Quantidade]]*Tabela4[[#This Row],[Valor Unitario]])</f>
        <v>222.5</v>
      </c>
      <c r="M88" t="s">
        <v>1642</v>
      </c>
    </row>
    <row r="89" spans="1:13" ht="15" hidden="1" customHeight="1" x14ac:dyDescent="0.25">
      <c r="A89" s="17">
        <v>46036</v>
      </c>
      <c r="B89" t="s">
        <v>425</v>
      </c>
      <c r="C89">
        <v>101</v>
      </c>
      <c r="D89">
        <v>2007</v>
      </c>
      <c r="E89" t="s">
        <v>76</v>
      </c>
      <c r="F89" t="s">
        <v>229</v>
      </c>
      <c r="G89" t="s">
        <v>230</v>
      </c>
      <c r="H89">
        <v>77</v>
      </c>
      <c r="I89">
        <f>SUMIF($D$2:D89, D89, $H$2:H89)</f>
        <v>77</v>
      </c>
      <c r="J89" t="s">
        <v>61</v>
      </c>
      <c r="K89">
        <v>1980</v>
      </c>
      <c r="L89">
        <f>ABS(Tabela4[[#This Row],[Quantidade]]*Tabela4[[#This Row],[Valor Unitario]])</f>
        <v>152460</v>
      </c>
      <c r="M89" t="s">
        <v>426</v>
      </c>
    </row>
    <row r="90" spans="1:13" ht="15" hidden="1" customHeight="1" x14ac:dyDescent="0.25">
      <c r="A90" s="17">
        <v>46036</v>
      </c>
      <c r="B90" t="s">
        <v>1193</v>
      </c>
      <c r="C90">
        <v>101</v>
      </c>
      <c r="D90">
        <v>5007</v>
      </c>
      <c r="E90" t="s">
        <v>129</v>
      </c>
      <c r="F90" t="s">
        <v>229</v>
      </c>
      <c r="G90" t="s">
        <v>230</v>
      </c>
      <c r="H90">
        <v>18</v>
      </c>
      <c r="I90">
        <f>SUMIF($D$2:D90, D90, $H$2:H90)</f>
        <v>18</v>
      </c>
      <c r="J90" t="s">
        <v>61</v>
      </c>
      <c r="K90">
        <v>340</v>
      </c>
      <c r="L90">
        <f>ABS(Tabela4[[#This Row],[Quantidade]]*Tabela4[[#This Row],[Valor Unitario]])</f>
        <v>6120</v>
      </c>
      <c r="M90" t="s">
        <v>1194</v>
      </c>
    </row>
    <row r="91" spans="1:13" ht="15" hidden="1" customHeight="1" x14ac:dyDescent="0.25">
      <c r="A91" s="17">
        <v>46037</v>
      </c>
      <c r="B91" t="s">
        <v>523</v>
      </c>
      <c r="C91">
        <v>261</v>
      </c>
      <c r="D91">
        <v>2010</v>
      </c>
      <c r="E91" t="s">
        <v>82</v>
      </c>
      <c r="F91" t="s">
        <v>229</v>
      </c>
      <c r="G91" t="s">
        <v>230</v>
      </c>
      <c r="H91">
        <v>-19</v>
      </c>
      <c r="I91">
        <f>SUMIF($D$2:D91, D91, $H$2:H91)</f>
        <v>-17</v>
      </c>
      <c r="J91" t="s">
        <v>61</v>
      </c>
      <c r="K91">
        <v>2150</v>
      </c>
      <c r="L91">
        <f>ABS(Tabela4[[#This Row],[Quantidade]]*Tabela4[[#This Row],[Valor Unitario]])</f>
        <v>40850</v>
      </c>
      <c r="M91" t="s">
        <v>524</v>
      </c>
    </row>
    <row r="92" spans="1:13" ht="15" hidden="1" customHeight="1" x14ac:dyDescent="0.25">
      <c r="A92" s="17">
        <v>46037</v>
      </c>
      <c r="B92" t="s">
        <v>1291</v>
      </c>
      <c r="C92">
        <v>261</v>
      </c>
      <c r="D92">
        <v>6003</v>
      </c>
      <c r="E92" t="s">
        <v>136</v>
      </c>
      <c r="F92" t="s">
        <v>229</v>
      </c>
      <c r="G92" t="s">
        <v>230</v>
      </c>
      <c r="H92">
        <v>-6</v>
      </c>
      <c r="I92">
        <f>SUMIF($D$2:D92, D92, $H$2:H92)</f>
        <v>-3</v>
      </c>
      <c r="J92" t="s">
        <v>103</v>
      </c>
      <c r="K92">
        <v>85</v>
      </c>
      <c r="L92">
        <f>ABS(Tabela4[[#This Row],[Quantidade]]*Tabela4[[#This Row],[Valor Unitario]])</f>
        <v>510</v>
      </c>
      <c r="M92" t="s">
        <v>1292</v>
      </c>
    </row>
    <row r="93" spans="1:13" ht="15" hidden="1" customHeight="1" x14ac:dyDescent="0.25">
      <c r="A93" s="17">
        <v>46038</v>
      </c>
      <c r="B93" t="s">
        <v>459</v>
      </c>
      <c r="C93">
        <v>261</v>
      </c>
      <c r="D93">
        <v>2008</v>
      </c>
      <c r="E93" t="s">
        <v>78</v>
      </c>
      <c r="F93" t="s">
        <v>229</v>
      </c>
      <c r="G93" t="s">
        <v>230</v>
      </c>
      <c r="H93">
        <v>-40</v>
      </c>
      <c r="I93">
        <f>SUMIF($D$2:D93, D93, $H$2:H93)</f>
        <v>-38</v>
      </c>
      <c r="J93" t="s">
        <v>61</v>
      </c>
      <c r="K93">
        <v>24500</v>
      </c>
      <c r="L93">
        <f>ABS(Tabela4[[#This Row],[Quantidade]]*Tabela4[[#This Row],[Valor Unitario]])</f>
        <v>980000</v>
      </c>
      <c r="M93" t="s">
        <v>460</v>
      </c>
    </row>
    <row r="94" spans="1:13" ht="15" hidden="1" customHeight="1" x14ac:dyDescent="0.25">
      <c r="A94" s="17">
        <v>46038</v>
      </c>
      <c r="B94" t="s">
        <v>587</v>
      </c>
      <c r="C94">
        <v>261</v>
      </c>
      <c r="D94">
        <v>2012</v>
      </c>
      <c r="E94" t="s">
        <v>86</v>
      </c>
      <c r="F94" t="s">
        <v>229</v>
      </c>
      <c r="G94" t="s">
        <v>230</v>
      </c>
      <c r="H94">
        <v>-21</v>
      </c>
      <c r="I94">
        <f>SUMIF($D$2:D94, D94, $H$2:H94)</f>
        <v>6</v>
      </c>
      <c r="J94" t="s">
        <v>61</v>
      </c>
      <c r="K94">
        <v>5400</v>
      </c>
      <c r="L94">
        <f>ABS(Tabela4[[#This Row],[Quantidade]]*Tabela4[[#This Row],[Valor Unitario]])</f>
        <v>113400</v>
      </c>
      <c r="M94" t="s">
        <v>588</v>
      </c>
    </row>
    <row r="95" spans="1:13" ht="15" hidden="1" customHeight="1" x14ac:dyDescent="0.25">
      <c r="A95" s="17">
        <v>46038</v>
      </c>
      <c r="B95" t="s">
        <v>1227</v>
      </c>
      <c r="C95">
        <v>261</v>
      </c>
      <c r="D95">
        <v>6001</v>
      </c>
      <c r="E95" t="s">
        <v>131</v>
      </c>
      <c r="F95" t="s">
        <v>229</v>
      </c>
      <c r="G95" t="s">
        <v>230</v>
      </c>
      <c r="H95">
        <v>-19</v>
      </c>
      <c r="I95">
        <f>SUMIF($D$2:D95, D95, $H$2:H95)</f>
        <v>7</v>
      </c>
      <c r="J95" t="s">
        <v>61</v>
      </c>
      <c r="K95">
        <v>15800</v>
      </c>
      <c r="L95">
        <f>ABS(Tabela4[[#This Row],[Quantidade]]*Tabela4[[#This Row],[Valor Unitario]])</f>
        <v>300200</v>
      </c>
      <c r="M95" t="s">
        <v>1228</v>
      </c>
    </row>
    <row r="96" spans="1:13" ht="15" hidden="1" customHeight="1" x14ac:dyDescent="0.25">
      <c r="A96" s="17">
        <v>46038</v>
      </c>
      <c r="B96" t="s">
        <v>1579</v>
      </c>
      <c r="C96">
        <v>261</v>
      </c>
      <c r="D96">
        <v>9003</v>
      </c>
      <c r="E96" t="s">
        <v>159</v>
      </c>
      <c r="F96" t="s">
        <v>229</v>
      </c>
      <c r="G96" t="s">
        <v>230</v>
      </c>
      <c r="H96">
        <v>-35</v>
      </c>
      <c r="I96">
        <f>SUMIF($D$2:D96, D96, $H$2:H96)</f>
        <v>-27</v>
      </c>
      <c r="J96" t="s">
        <v>61</v>
      </c>
      <c r="K96">
        <v>2.2000000000000002</v>
      </c>
      <c r="L96">
        <f>ABS(Tabela4[[#This Row],[Quantidade]]*Tabela4[[#This Row],[Valor Unitario]])</f>
        <v>77</v>
      </c>
      <c r="M96" t="s">
        <v>1580</v>
      </c>
    </row>
    <row r="97" spans="1:13" ht="15" hidden="1" customHeight="1" x14ac:dyDescent="0.25">
      <c r="A97" s="17">
        <v>46039</v>
      </c>
      <c r="B97" t="s">
        <v>619</v>
      </c>
      <c r="C97">
        <v>261</v>
      </c>
      <c r="D97">
        <v>2356</v>
      </c>
      <c r="E97" t="s">
        <v>88</v>
      </c>
      <c r="F97" t="s">
        <v>229</v>
      </c>
      <c r="G97" t="s">
        <v>230</v>
      </c>
      <c r="H97">
        <v>-18</v>
      </c>
      <c r="I97">
        <f>SUMIF($D$2:D97, D97, $H$2:H97)</f>
        <v>15</v>
      </c>
      <c r="J97" t="s">
        <v>61</v>
      </c>
      <c r="K97">
        <v>145</v>
      </c>
      <c r="L97">
        <f>ABS(Tabela4[[#This Row],[Quantidade]]*Tabela4[[#This Row],[Valor Unitario]])</f>
        <v>2610</v>
      </c>
      <c r="M97" t="s">
        <v>620</v>
      </c>
    </row>
    <row r="98" spans="1:13" ht="15" customHeight="1" x14ac:dyDescent="0.25">
      <c r="A98" s="17">
        <v>46039</v>
      </c>
      <c r="B98" t="s">
        <v>715</v>
      </c>
      <c r="C98">
        <v>261</v>
      </c>
      <c r="D98">
        <v>2359</v>
      </c>
      <c r="E98" t="s">
        <v>95</v>
      </c>
      <c r="F98" t="s">
        <v>229</v>
      </c>
      <c r="G98" t="s">
        <v>230</v>
      </c>
      <c r="H98">
        <v>-6</v>
      </c>
      <c r="I98">
        <f>SUMIF($D$2:D98, D98, $H$2:H98)</f>
        <v>16</v>
      </c>
      <c r="J98" t="s">
        <v>61</v>
      </c>
      <c r="K98">
        <v>1240</v>
      </c>
      <c r="L98">
        <f>ABS(Tabela4[[#This Row],[Quantidade]]*Tabela4[[#This Row],[Valor Unitario]])</f>
        <v>7440</v>
      </c>
      <c r="M98" t="s">
        <v>716</v>
      </c>
    </row>
    <row r="99" spans="1:13" ht="15" hidden="1" customHeight="1" x14ac:dyDescent="0.25">
      <c r="A99" s="17">
        <v>46039</v>
      </c>
      <c r="B99" t="s">
        <v>811</v>
      </c>
      <c r="C99">
        <v>261</v>
      </c>
      <c r="D99">
        <v>3001</v>
      </c>
      <c r="E99" t="s">
        <v>101</v>
      </c>
      <c r="F99" t="s">
        <v>229</v>
      </c>
      <c r="G99" t="s">
        <v>230</v>
      </c>
      <c r="H99">
        <v>-36</v>
      </c>
      <c r="I99">
        <f>SUMIF($D$2:D99, D99, $H$2:H99)</f>
        <v>13</v>
      </c>
      <c r="J99" t="s">
        <v>103</v>
      </c>
      <c r="K99">
        <v>320</v>
      </c>
      <c r="L99">
        <f>ABS(Tabela4[[#This Row],[Quantidade]]*Tabela4[[#This Row],[Valor Unitario]])</f>
        <v>11520</v>
      </c>
      <c r="M99" t="s">
        <v>812</v>
      </c>
    </row>
    <row r="100" spans="1:13" ht="15" hidden="1" customHeight="1" x14ac:dyDescent="0.25">
      <c r="A100" s="17">
        <v>46039</v>
      </c>
      <c r="B100" t="s">
        <v>1131</v>
      </c>
      <c r="C100">
        <v>261</v>
      </c>
      <c r="D100">
        <v>5005</v>
      </c>
      <c r="E100" t="s">
        <v>125</v>
      </c>
      <c r="F100" t="s">
        <v>229</v>
      </c>
      <c r="G100" t="s">
        <v>230</v>
      </c>
      <c r="H100">
        <v>-15</v>
      </c>
      <c r="I100">
        <f>SUMIF($D$2:D100, D100, $H$2:H100)</f>
        <v>-11</v>
      </c>
      <c r="J100" t="s">
        <v>61</v>
      </c>
      <c r="K100">
        <v>780</v>
      </c>
      <c r="L100">
        <f>ABS(Tabela4[[#This Row],[Quantidade]]*Tabela4[[#This Row],[Valor Unitario]])</f>
        <v>11700</v>
      </c>
      <c r="M100" t="s">
        <v>1132</v>
      </c>
    </row>
    <row r="101" spans="1:13" ht="15" hidden="1" customHeight="1" x14ac:dyDescent="0.25">
      <c r="A101" s="17">
        <v>46040</v>
      </c>
      <c r="B101" t="s">
        <v>1419</v>
      </c>
      <c r="C101">
        <v>261</v>
      </c>
      <c r="D101">
        <v>7003</v>
      </c>
      <c r="E101" t="s">
        <v>145</v>
      </c>
      <c r="F101" t="s">
        <v>229</v>
      </c>
      <c r="G101" t="s">
        <v>230</v>
      </c>
      <c r="H101">
        <v>-26</v>
      </c>
      <c r="I101">
        <f>SUMIF($D$2:D101, D101, $H$2:H101)</f>
        <v>10</v>
      </c>
      <c r="J101" t="s">
        <v>61</v>
      </c>
      <c r="K101">
        <v>130</v>
      </c>
      <c r="L101">
        <f>ABS(Tabela4[[#This Row],[Quantidade]]*Tabela4[[#This Row],[Valor Unitario]])</f>
        <v>3380</v>
      </c>
      <c r="M101" t="s">
        <v>1420</v>
      </c>
    </row>
    <row r="102" spans="1:13" ht="15" hidden="1" customHeight="1" x14ac:dyDescent="0.25">
      <c r="A102" s="17">
        <v>46041</v>
      </c>
      <c r="B102" t="s">
        <v>386</v>
      </c>
      <c r="C102">
        <v>261</v>
      </c>
      <c r="D102">
        <v>2005</v>
      </c>
      <c r="E102" t="s">
        <v>71</v>
      </c>
      <c r="F102" t="s">
        <v>229</v>
      </c>
      <c r="G102" t="s">
        <v>230</v>
      </c>
      <c r="H102">
        <v>-99</v>
      </c>
      <c r="I102">
        <f>SUMIF($D$2:D102, D102, $H$2:H102)</f>
        <v>-76</v>
      </c>
      <c r="J102" t="s">
        <v>61</v>
      </c>
      <c r="K102">
        <v>3450</v>
      </c>
      <c r="L102">
        <f>ABS(Tabela4[[#This Row],[Quantidade]]*Tabela4[[#This Row],[Valor Unitario]])</f>
        <v>341550</v>
      </c>
      <c r="M102" t="s">
        <v>296</v>
      </c>
    </row>
    <row r="103" spans="1:13" ht="15" hidden="1" customHeight="1" x14ac:dyDescent="0.25">
      <c r="A103" s="17">
        <v>46041</v>
      </c>
      <c r="B103" t="s">
        <v>1035</v>
      </c>
      <c r="C103">
        <v>261</v>
      </c>
      <c r="D103">
        <v>5002</v>
      </c>
      <c r="E103" t="s">
        <v>119</v>
      </c>
      <c r="F103" t="s">
        <v>229</v>
      </c>
      <c r="G103" t="s">
        <v>230</v>
      </c>
      <c r="H103">
        <v>-18</v>
      </c>
      <c r="I103">
        <f>SUMIF($D$2:D103, D103, $H$2:H103)</f>
        <v>-15</v>
      </c>
      <c r="J103" t="s">
        <v>61</v>
      </c>
      <c r="K103">
        <v>17800</v>
      </c>
      <c r="L103">
        <f>ABS(Tabela4[[#This Row],[Quantidade]]*Tabela4[[#This Row],[Valor Unitario]])</f>
        <v>320400</v>
      </c>
      <c r="M103" t="s">
        <v>1036</v>
      </c>
    </row>
    <row r="104" spans="1:13" ht="15" hidden="1" customHeight="1" x14ac:dyDescent="0.25">
      <c r="A104" s="17">
        <v>46042</v>
      </c>
      <c r="B104" t="s">
        <v>491</v>
      </c>
      <c r="C104">
        <v>261</v>
      </c>
      <c r="D104">
        <v>2009</v>
      </c>
      <c r="E104" t="s">
        <v>80</v>
      </c>
      <c r="F104" t="s">
        <v>229</v>
      </c>
      <c r="G104" t="s">
        <v>230</v>
      </c>
      <c r="H104">
        <v>-8</v>
      </c>
      <c r="I104">
        <f>SUMIF($D$2:D104, D104, $H$2:H104)</f>
        <v>51</v>
      </c>
      <c r="J104" t="s">
        <v>61</v>
      </c>
      <c r="K104">
        <v>1650</v>
      </c>
      <c r="L104">
        <f>ABS(Tabela4[[#This Row],[Quantidade]]*Tabela4[[#This Row],[Valor Unitario]])</f>
        <v>13200</v>
      </c>
      <c r="M104" t="s">
        <v>492</v>
      </c>
    </row>
    <row r="105" spans="1:13" ht="15" hidden="1" customHeight="1" x14ac:dyDescent="0.25">
      <c r="A105" s="17">
        <v>46042</v>
      </c>
      <c r="B105" t="s">
        <v>1195</v>
      </c>
      <c r="C105">
        <v>261</v>
      </c>
      <c r="D105">
        <v>5007</v>
      </c>
      <c r="E105" t="s">
        <v>129</v>
      </c>
      <c r="F105" t="s">
        <v>229</v>
      </c>
      <c r="G105" t="s">
        <v>230</v>
      </c>
      <c r="H105">
        <v>-99</v>
      </c>
      <c r="I105">
        <f>SUMIF($D$2:D105, D105, $H$2:H105)</f>
        <v>-81</v>
      </c>
      <c r="J105" t="s">
        <v>61</v>
      </c>
      <c r="K105">
        <v>340</v>
      </c>
      <c r="L105">
        <f>ABS(Tabela4[[#This Row],[Quantidade]]*Tabela4[[#This Row],[Valor Unitario]])</f>
        <v>33660</v>
      </c>
      <c r="M105" t="s">
        <v>1196</v>
      </c>
    </row>
    <row r="106" spans="1:13" ht="15" hidden="1" customHeight="1" x14ac:dyDescent="0.25">
      <c r="A106" s="17">
        <v>46042</v>
      </c>
      <c r="B106" t="s">
        <v>1259</v>
      </c>
      <c r="C106">
        <v>261</v>
      </c>
      <c r="D106">
        <v>6002</v>
      </c>
      <c r="E106" t="s">
        <v>134</v>
      </c>
      <c r="F106" t="s">
        <v>229</v>
      </c>
      <c r="G106" t="s">
        <v>230</v>
      </c>
      <c r="H106">
        <v>-51</v>
      </c>
      <c r="I106">
        <f>SUMIF($D$2:D106, D106, $H$2:H106)</f>
        <v>43</v>
      </c>
      <c r="J106" t="s">
        <v>61</v>
      </c>
      <c r="K106">
        <v>6900</v>
      </c>
      <c r="L106">
        <f>ABS(Tabela4[[#This Row],[Quantidade]]*Tabela4[[#This Row],[Valor Unitario]])</f>
        <v>351900</v>
      </c>
      <c r="M106" t="s">
        <v>1260</v>
      </c>
    </row>
    <row r="107" spans="1:13" ht="15" hidden="1" customHeight="1" x14ac:dyDescent="0.25">
      <c r="A107" s="17">
        <v>46042</v>
      </c>
      <c r="B107" t="s">
        <v>1355</v>
      </c>
      <c r="C107">
        <v>261</v>
      </c>
      <c r="D107">
        <v>7001</v>
      </c>
      <c r="E107" t="s">
        <v>140</v>
      </c>
      <c r="F107" t="s">
        <v>229</v>
      </c>
      <c r="G107" t="s">
        <v>230</v>
      </c>
      <c r="H107">
        <v>-97</v>
      </c>
      <c r="I107">
        <f>SUMIF($D$2:D107, D107, $H$2:H107)</f>
        <v>-83</v>
      </c>
      <c r="J107" t="s">
        <v>61</v>
      </c>
      <c r="K107">
        <v>210</v>
      </c>
      <c r="L107">
        <f>ABS(Tabela4[[#This Row],[Quantidade]]*Tabela4[[#This Row],[Valor Unitario]])</f>
        <v>20370</v>
      </c>
      <c r="M107" t="s">
        <v>1356</v>
      </c>
    </row>
    <row r="108" spans="1:13" ht="15" hidden="1" customHeight="1" x14ac:dyDescent="0.25">
      <c r="A108" s="17">
        <v>46042</v>
      </c>
      <c r="B108" t="s">
        <v>1387</v>
      </c>
      <c r="C108">
        <v>261</v>
      </c>
      <c r="D108">
        <v>7002</v>
      </c>
      <c r="E108" t="s">
        <v>143</v>
      </c>
      <c r="F108" t="s">
        <v>229</v>
      </c>
      <c r="G108" t="s">
        <v>230</v>
      </c>
      <c r="H108">
        <v>-57</v>
      </c>
      <c r="I108">
        <f>SUMIF($D$2:D108, D108, $H$2:H108)</f>
        <v>-28</v>
      </c>
      <c r="J108" t="s">
        <v>61</v>
      </c>
      <c r="K108">
        <v>95</v>
      </c>
      <c r="L108">
        <f>ABS(Tabela4[[#This Row],[Quantidade]]*Tabela4[[#This Row],[Valor Unitario]])</f>
        <v>5415</v>
      </c>
      <c r="M108" t="s">
        <v>1388</v>
      </c>
    </row>
    <row r="109" spans="1:13" ht="15" hidden="1" customHeight="1" x14ac:dyDescent="0.25">
      <c r="A109" s="17">
        <v>46043</v>
      </c>
      <c r="B109" t="s">
        <v>402</v>
      </c>
      <c r="C109">
        <v>261</v>
      </c>
      <c r="D109">
        <v>2006</v>
      </c>
      <c r="E109" t="s">
        <v>74</v>
      </c>
      <c r="F109" t="s">
        <v>229</v>
      </c>
      <c r="G109" t="s">
        <v>230</v>
      </c>
      <c r="H109">
        <v>-15</v>
      </c>
      <c r="I109">
        <f>SUMIF($D$2:D109, D109, $H$2:H109)</f>
        <v>8</v>
      </c>
      <c r="J109" t="s">
        <v>61</v>
      </c>
      <c r="K109">
        <v>2870</v>
      </c>
      <c r="L109">
        <f>ABS(Tabela4[[#This Row],[Quantidade]]*Tabela4[[#This Row],[Valor Unitario]])</f>
        <v>43050</v>
      </c>
      <c r="M109" t="s">
        <v>312</v>
      </c>
    </row>
    <row r="110" spans="1:13" ht="15" hidden="1" customHeight="1" x14ac:dyDescent="0.25">
      <c r="A110" s="17">
        <v>46043</v>
      </c>
      <c r="B110" t="s">
        <v>651</v>
      </c>
      <c r="C110">
        <v>261</v>
      </c>
      <c r="D110">
        <v>2357</v>
      </c>
      <c r="E110" t="s">
        <v>91</v>
      </c>
      <c r="F110" t="s">
        <v>229</v>
      </c>
      <c r="G110" t="s">
        <v>230</v>
      </c>
      <c r="H110">
        <v>-42</v>
      </c>
      <c r="I110">
        <f>SUMIF($D$2:D110, D110, $H$2:H110)</f>
        <v>18</v>
      </c>
      <c r="J110" t="s">
        <v>61</v>
      </c>
      <c r="K110">
        <v>210</v>
      </c>
      <c r="L110">
        <f>ABS(Tabela4[[#This Row],[Quantidade]]*Tabela4[[#This Row],[Valor Unitario]])</f>
        <v>8820</v>
      </c>
      <c r="M110" t="s">
        <v>652</v>
      </c>
    </row>
    <row r="111" spans="1:13" ht="15" hidden="1" customHeight="1" x14ac:dyDescent="0.25">
      <c r="A111" s="17">
        <v>46043</v>
      </c>
      <c r="B111" t="s">
        <v>843</v>
      </c>
      <c r="C111">
        <v>261</v>
      </c>
      <c r="D111">
        <v>3002</v>
      </c>
      <c r="E111" t="s">
        <v>105</v>
      </c>
      <c r="F111" t="s">
        <v>229</v>
      </c>
      <c r="G111" t="s">
        <v>230</v>
      </c>
      <c r="H111">
        <v>-8</v>
      </c>
      <c r="I111">
        <f>SUMIF($D$2:D111, D111, $H$2:H111)</f>
        <v>1</v>
      </c>
      <c r="J111" t="s">
        <v>61</v>
      </c>
      <c r="K111">
        <v>95</v>
      </c>
      <c r="L111">
        <f>ABS(Tabela4[[#This Row],[Quantidade]]*Tabela4[[#This Row],[Valor Unitario]])</f>
        <v>760</v>
      </c>
      <c r="M111" t="s">
        <v>844</v>
      </c>
    </row>
    <row r="112" spans="1:13" ht="15" hidden="1" customHeight="1" x14ac:dyDescent="0.25">
      <c r="A112" s="17">
        <v>46043</v>
      </c>
      <c r="B112" t="s">
        <v>907</v>
      </c>
      <c r="C112">
        <v>261</v>
      </c>
      <c r="D112">
        <v>3004</v>
      </c>
      <c r="E112" t="s">
        <v>109</v>
      </c>
      <c r="F112" t="s">
        <v>229</v>
      </c>
      <c r="G112" t="s">
        <v>230</v>
      </c>
      <c r="H112">
        <v>-91</v>
      </c>
      <c r="I112">
        <f>SUMIF($D$2:D112, D112, $H$2:H112)</f>
        <v>-37</v>
      </c>
      <c r="J112" t="s">
        <v>61</v>
      </c>
      <c r="K112">
        <v>2180</v>
      </c>
      <c r="L112">
        <f>ABS(Tabela4[[#This Row],[Quantidade]]*Tabela4[[#This Row],[Valor Unitario]])</f>
        <v>198380</v>
      </c>
      <c r="M112" t="s">
        <v>908</v>
      </c>
    </row>
    <row r="113" spans="1:13" ht="15" hidden="1" customHeight="1" x14ac:dyDescent="0.25">
      <c r="A113" s="17">
        <v>46043</v>
      </c>
      <c r="B113" t="s">
        <v>1643</v>
      </c>
      <c r="C113">
        <v>261</v>
      </c>
      <c r="D113">
        <v>9005</v>
      </c>
      <c r="E113" t="s">
        <v>163</v>
      </c>
      <c r="F113" t="s">
        <v>229</v>
      </c>
      <c r="G113" t="s">
        <v>230</v>
      </c>
      <c r="H113">
        <v>-23</v>
      </c>
      <c r="I113">
        <f>SUMIF($D$2:D113, D113, $H$2:H113)</f>
        <v>2</v>
      </c>
      <c r="J113" t="s">
        <v>61</v>
      </c>
      <c r="K113">
        <v>8.9</v>
      </c>
      <c r="L113">
        <f>ABS(Tabela4[[#This Row],[Quantidade]]*Tabela4[[#This Row],[Valor Unitario]])</f>
        <v>204.70000000000002</v>
      </c>
      <c r="M113" t="s">
        <v>1644</v>
      </c>
    </row>
    <row r="114" spans="1:13" ht="15" hidden="1" customHeight="1" x14ac:dyDescent="0.25">
      <c r="A114" s="17">
        <v>46044</v>
      </c>
      <c r="B114" t="s">
        <v>971</v>
      </c>
      <c r="C114">
        <v>261</v>
      </c>
      <c r="D114">
        <v>4002</v>
      </c>
      <c r="E114" t="s">
        <v>114</v>
      </c>
      <c r="F114" t="s">
        <v>229</v>
      </c>
      <c r="G114" t="s">
        <v>230</v>
      </c>
      <c r="H114">
        <v>-92</v>
      </c>
      <c r="I114">
        <f>SUMIF($D$2:D114, D114, $H$2:H114)</f>
        <v>-64</v>
      </c>
      <c r="J114" t="s">
        <v>61</v>
      </c>
      <c r="K114">
        <v>4100</v>
      </c>
      <c r="L114">
        <f>ABS(Tabela4[[#This Row],[Quantidade]]*Tabela4[[#This Row],[Valor Unitario]])</f>
        <v>377200</v>
      </c>
      <c r="M114" t="s">
        <v>972</v>
      </c>
    </row>
    <row r="115" spans="1:13" ht="15" hidden="1" customHeight="1" x14ac:dyDescent="0.25">
      <c r="A115" s="17">
        <v>46044</v>
      </c>
      <c r="B115" t="s">
        <v>1451</v>
      </c>
      <c r="C115">
        <v>261</v>
      </c>
      <c r="D115">
        <v>8001</v>
      </c>
      <c r="E115" t="s">
        <v>147</v>
      </c>
      <c r="F115" t="s">
        <v>229</v>
      </c>
      <c r="G115" t="s">
        <v>230</v>
      </c>
      <c r="H115">
        <v>-92</v>
      </c>
      <c r="I115">
        <f>SUMIF($D$2:D115, D115, $H$2:H115)</f>
        <v>-55</v>
      </c>
      <c r="J115" t="s">
        <v>149</v>
      </c>
      <c r="K115">
        <v>28</v>
      </c>
      <c r="L115">
        <f>ABS(Tabela4[[#This Row],[Quantidade]]*Tabela4[[#This Row],[Valor Unitario]])</f>
        <v>2576</v>
      </c>
      <c r="M115" t="s">
        <v>1452</v>
      </c>
    </row>
    <row r="116" spans="1:13" ht="15" hidden="1" customHeight="1" x14ac:dyDescent="0.25">
      <c r="A116" s="17">
        <v>46045</v>
      </c>
      <c r="B116" t="s">
        <v>427</v>
      </c>
      <c r="C116">
        <v>261</v>
      </c>
      <c r="D116">
        <v>2007</v>
      </c>
      <c r="E116" t="s">
        <v>76</v>
      </c>
      <c r="F116" t="s">
        <v>229</v>
      </c>
      <c r="G116" t="s">
        <v>230</v>
      </c>
      <c r="H116">
        <v>-3</v>
      </c>
      <c r="I116">
        <f>SUMIF($D$2:D116, D116, $H$2:H116)</f>
        <v>74</v>
      </c>
      <c r="J116" t="s">
        <v>61</v>
      </c>
      <c r="K116">
        <v>1980</v>
      </c>
      <c r="L116">
        <f>ABS(Tabela4[[#This Row],[Quantidade]]*Tabela4[[#This Row],[Valor Unitario]])</f>
        <v>5940</v>
      </c>
      <c r="M116" t="s">
        <v>428</v>
      </c>
    </row>
    <row r="117" spans="1:13" ht="15" hidden="1" customHeight="1" x14ac:dyDescent="0.25">
      <c r="A117" s="17">
        <v>46045</v>
      </c>
      <c r="B117" t="s">
        <v>1323</v>
      </c>
      <c r="C117">
        <v>261</v>
      </c>
      <c r="D117">
        <v>6004</v>
      </c>
      <c r="E117" t="s">
        <v>138</v>
      </c>
      <c r="F117" t="s">
        <v>229</v>
      </c>
      <c r="G117" t="s">
        <v>230</v>
      </c>
      <c r="H117">
        <v>-34</v>
      </c>
      <c r="I117">
        <f>SUMIF($D$2:D117, D117, $H$2:H117)</f>
        <v>41</v>
      </c>
      <c r="J117" t="s">
        <v>61</v>
      </c>
      <c r="K117">
        <v>2650</v>
      </c>
      <c r="L117">
        <f>ABS(Tabela4[[#This Row],[Quantidade]]*Tabela4[[#This Row],[Valor Unitario]])</f>
        <v>90100</v>
      </c>
      <c r="M117" t="s">
        <v>1324</v>
      </c>
    </row>
    <row r="118" spans="1:13" ht="15" hidden="1" customHeight="1" x14ac:dyDescent="0.25">
      <c r="A118" s="17">
        <v>46045</v>
      </c>
      <c r="B118" t="s">
        <v>1483</v>
      </c>
      <c r="C118">
        <v>261</v>
      </c>
      <c r="D118">
        <v>8002</v>
      </c>
      <c r="E118" t="s">
        <v>151</v>
      </c>
      <c r="F118" t="s">
        <v>229</v>
      </c>
      <c r="G118" t="s">
        <v>230</v>
      </c>
      <c r="H118">
        <v>-35</v>
      </c>
      <c r="I118">
        <f>SUMIF($D$2:D118, D118, $H$2:H118)</f>
        <v>39</v>
      </c>
      <c r="J118" t="s">
        <v>152</v>
      </c>
      <c r="K118">
        <v>32</v>
      </c>
      <c r="L118">
        <f>ABS(Tabela4[[#This Row],[Quantidade]]*Tabela4[[#This Row],[Valor Unitario]])</f>
        <v>1120</v>
      </c>
      <c r="M118" t="s">
        <v>1484</v>
      </c>
    </row>
    <row r="119" spans="1:13" ht="15" hidden="1" customHeight="1" x14ac:dyDescent="0.25">
      <c r="A119" s="17">
        <v>46046</v>
      </c>
      <c r="B119" t="s">
        <v>747</v>
      </c>
      <c r="C119">
        <v>261</v>
      </c>
      <c r="D119">
        <v>2360</v>
      </c>
      <c r="E119" t="s">
        <v>97</v>
      </c>
      <c r="F119" t="s">
        <v>229</v>
      </c>
      <c r="G119" t="s">
        <v>230</v>
      </c>
      <c r="H119">
        <v>-19</v>
      </c>
      <c r="I119">
        <f>SUMIF($D$2:D119, D119, $H$2:H119)</f>
        <v>15</v>
      </c>
      <c r="J119" t="s">
        <v>61</v>
      </c>
      <c r="K119">
        <v>2380</v>
      </c>
      <c r="L119">
        <f>ABS(Tabela4[[#This Row],[Quantidade]]*Tabela4[[#This Row],[Valor Unitario]])</f>
        <v>45220</v>
      </c>
      <c r="M119" t="s">
        <v>748</v>
      </c>
    </row>
    <row r="120" spans="1:13" ht="15" hidden="1" customHeight="1" x14ac:dyDescent="0.25">
      <c r="A120" s="17">
        <v>46046</v>
      </c>
      <c r="B120" t="s">
        <v>1099</v>
      </c>
      <c r="C120">
        <v>261</v>
      </c>
      <c r="D120">
        <v>5004</v>
      </c>
      <c r="E120" t="s">
        <v>123</v>
      </c>
      <c r="F120" t="s">
        <v>229</v>
      </c>
      <c r="G120" t="s">
        <v>230</v>
      </c>
      <c r="H120">
        <v>-51</v>
      </c>
      <c r="I120">
        <f>SUMIF($D$2:D120, D120, $H$2:H120)</f>
        <v>-21</v>
      </c>
      <c r="J120" t="s">
        <v>61</v>
      </c>
      <c r="K120">
        <v>1350</v>
      </c>
      <c r="L120">
        <f>ABS(Tabela4[[#This Row],[Quantidade]]*Tabela4[[#This Row],[Valor Unitario]])</f>
        <v>68850</v>
      </c>
      <c r="M120" t="s">
        <v>1100</v>
      </c>
    </row>
    <row r="121" spans="1:13" ht="15" hidden="1" customHeight="1" x14ac:dyDescent="0.25">
      <c r="A121" s="17">
        <v>46047</v>
      </c>
      <c r="B121" t="s">
        <v>1611</v>
      </c>
      <c r="C121">
        <v>261</v>
      </c>
      <c r="D121">
        <v>9004</v>
      </c>
      <c r="E121" t="s">
        <v>161</v>
      </c>
      <c r="F121" t="s">
        <v>229</v>
      </c>
      <c r="G121" t="s">
        <v>230</v>
      </c>
      <c r="H121">
        <v>-2</v>
      </c>
      <c r="I121">
        <f>SUMIF($D$2:D121, D121, $H$2:H121)</f>
        <v>18</v>
      </c>
      <c r="J121" t="s">
        <v>61</v>
      </c>
      <c r="K121">
        <v>45</v>
      </c>
      <c r="L121">
        <f>ABS(Tabela4[[#This Row],[Quantidade]]*Tabela4[[#This Row],[Valor Unitario]])</f>
        <v>90</v>
      </c>
      <c r="M121" t="s">
        <v>1612</v>
      </c>
    </row>
    <row r="122" spans="1:13" ht="15" hidden="1" customHeight="1" x14ac:dyDescent="0.25">
      <c r="A122" s="17">
        <v>46048</v>
      </c>
      <c r="B122" t="s">
        <v>779</v>
      </c>
      <c r="C122">
        <v>261</v>
      </c>
      <c r="D122">
        <v>2361</v>
      </c>
      <c r="E122" t="s">
        <v>99</v>
      </c>
      <c r="F122" t="s">
        <v>229</v>
      </c>
      <c r="G122" t="s">
        <v>230</v>
      </c>
      <c r="H122">
        <v>-29</v>
      </c>
      <c r="I122">
        <f>SUMIF($D$2:D122, D122, $H$2:H122)</f>
        <v>14</v>
      </c>
      <c r="J122" t="s">
        <v>61</v>
      </c>
      <c r="K122">
        <v>68</v>
      </c>
      <c r="L122">
        <f>ABS(Tabela4[[#This Row],[Quantidade]]*Tabela4[[#This Row],[Valor Unitario]])</f>
        <v>1972</v>
      </c>
      <c r="M122" t="s">
        <v>780</v>
      </c>
    </row>
    <row r="123" spans="1:13" ht="15" hidden="1" customHeight="1" x14ac:dyDescent="0.25">
      <c r="A123" s="17">
        <v>46048</v>
      </c>
      <c r="B123" t="s">
        <v>875</v>
      </c>
      <c r="C123">
        <v>261</v>
      </c>
      <c r="D123">
        <v>3003</v>
      </c>
      <c r="E123" t="s">
        <v>107</v>
      </c>
      <c r="F123" t="s">
        <v>229</v>
      </c>
      <c r="G123" t="s">
        <v>230</v>
      </c>
      <c r="H123">
        <v>-17</v>
      </c>
      <c r="I123">
        <f>SUMIF($D$2:D123, D123, $H$2:H123)</f>
        <v>57</v>
      </c>
      <c r="J123" t="s">
        <v>61</v>
      </c>
      <c r="K123">
        <v>2450</v>
      </c>
      <c r="L123">
        <f>ABS(Tabela4[[#This Row],[Quantidade]]*Tabela4[[#This Row],[Valor Unitario]])</f>
        <v>41650</v>
      </c>
      <c r="M123" t="s">
        <v>876</v>
      </c>
    </row>
    <row r="124" spans="1:13" ht="15" hidden="1" customHeight="1" x14ac:dyDescent="0.25">
      <c r="A124" s="17">
        <v>46048</v>
      </c>
      <c r="B124" t="s">
        <v>1067</v>
      </c>
      <c r="C124">
        <v>261</v>
      </c>
      <c r="D124">
        <v>5003</v>
      </c>
      <c r="E124" t="s">
        <v>121</v>
      </c>
      <c r="F124" t="s">
        <v>229</v>
      </c>
      <c r="G124" t="s">
        <v>230</v>
      </c>
      <c r="H124">
        <v>-5</v>
      </c>
      <c r="I124">
        <f>SUMIF($D$2:D124, D124, $H$2:H124)</f>
        <v>49</v>
      </c>
      <c r="J124" t="s">
        <v>61</v>
      </c>
      <c r="K124">
        <v>8900</v>
      </c>
      <c r="L124">
        <f>ABS(Tabela4[[#This Row],[Quantidade]]*Tabela4[[#This Row],[Valor Unitario]])</f>
        <v>44500</v>
      </c>
      <c r="M124" t="s">
        <v>1068</v>
      </c>
    </row>
    <row r="125" spans="1:13" ht="15" hidden="1" customHeight="1" x14ac:dyDescent="0.25">
      <c r="A125" s="17">
        <v>46049</v>
      </c>
      <c r="B125" t="s">
        <v>370</v>
      </c>
      <c r="C125">
        <v>261</v>
      </c>
      <c r="D125">
        <v>2004</v>
      </c>
      <c r="E125" t="s">
        <v>69</v>
      </c>
      <c r="F125" t="s">
        <v>229</v>
      </c>
      <c r="G125" t="s">
        <v>230</v>
      </c>
      <c r="H125">
        <v>-41</v>
      </c>
      <c r="I125">
        <f>SUMIF($D$2:D125, D125, $H$2:H125)</f>
        <v>48</v>
      </c>
      <c r="J125" t="s">
        <v>61</v>
      </c>
      <c r="K125">
        <v>11800</v>
      </c>
      <c r="L125">
        <f>ABS(Tabela4[[#This Row],[Quantidade]]*Tabela4[[#This Row],[Valor Unitario]])</f>
        <v>483800</v>
      </c>
      <c r="M125" t="s">
        <v>280</v>
      </c>
    </row>
    <row r="126" spans="1:13" ht="15" hidden="1" customHeight="1" x14ac:dyDescent="0.25">
      <c r="A126" s="17">
        <v>46049</v>
      </c>
      <c r="B126" t="s">
        <v>939</v>
      </c>
      <c r="C126">
        <v>261</v>
      </c>
      <c r="D126">
        <v>4001</v>
      </c>
      <c r="E126" t="s">
        <v>111</v>
      </c>
      <c r="F126" t="s">
        <v>229</v>
      </c>
      <c r="G126" t="s">
        <v>230</v>
      </c>
      <c r="H126">
        <v>-32</v>
      </c>
      <c r="I126">
        <f>SUMIF($D$2:D126, D126, $H$2:H126)</f>
        <v>12</v>
      </c>
      <c r="J126" t="s">
        <v>61</v>
      </c>
      <c r="K126">
        <v>3200</v>
      </c>
      <c r="L126">
        <f>ABS(Tabela4[[#This Row],[Quantidade]]*Tabela4[[#This Row],[Valor Unitario]])</f>
        <v>102400</v>
      </c>
      <c r="M126" t="s">
        <v>940</v>
      </c>
    </row>
    <row r="127" spans="1:13" ht="15" hidden="1" customHeight="1" x14ac:dyDescent="0.25">
      <c r="A127" s="17">
        <v>46049</v>
      </c>
      <c r="B127" t="s">
        <v>1003</v>
      </c>
      <c r="C127">
        <v>261</v>
      </c>
      <c r="D127">
        <v>5001</v>
      </c>
      <c r="E127" t="s">
        <v>116</v>
      </c>
      <c r="F127" t="s">
        <v>229</v>
      </c>
      <c r="G127" t="s">
        <v>230</v>
      </c>
      <c r="H127">
        <v>-5</v>
      </c>
      <c r="I127">
        <f>SUMIF($D$2:D127, D127, $H$2:H127)</f>
        <v>51</v>
      </c>
      <c r="J127" t="s">
        <v>61</v>
      </c>
      <c r="K127">
        <v>32500</v>
      </c>
      <c r="L127">
        <f>ABS(Tabela4[[#This Row],[Quantidade]]*Tabela4[[#This Row],[Valor Unitario]])</f>
        <v>162500</v>
      </c>
      <c r="M127" t="s">
        <v>1004</v>
      </c>
    </row>
    <row r="128" spans="1:13" ht="15" hidden="1" customHeight="1" x14ac:dyDescent="0.25">
      <c r="A128" s="17">
        <v>46050</v>
      </c>
      <c r="B128" t="s">
        <v>555</v>
      </c>
      <c r="C128">
        <v>261</v>
      </c>
      <c r="D128">
        <v>2011</v>
      </c>
      <c r="E128" t="s">
        <v>84</v>
      </c>
      <c r="F128" t="s">
        <v>229</v>
      </c>
      <c r="G128" t="s">
        <v>230</v>
      </c>
      <c r="H128">
        <v>-82</v>
      </c>
      <c r="I128">
        <f>SUMIF($D$2:D128, D128, $H$2:H128)</f>
        <v>11</v>
      </c>
      <c r="J128" t="s">
        <v>61</v>
      </c>
      <c r="K128">
        <v>9800</v>
      </c>
      <c r="L128">
        <f>ABS(Tabela4[[#This Row],[Quantidade]]*Tabela4[[#This Row],[Valor Unitario]])</f>
        <v>803600</v>
      </c>
      <c r="M128" t="s">
        <v>556</v>
      </c>
    </row>
    <row r="129" spans="1:13" ht="15" hidden="1" customHeight="1" x14ac:dyDescent="0.25">
      <c r="A129" s="17">
        <v>46051</v>
      </c>
      <c r="B129" t="s">
        <v>683</v>
      </c>
      <c r="C129">
        <v>261</v>
      </c>
      <c r="D129">
        <v>2358</v>
      </c>
      <c r="E129" t="s">
        <v>93</v>
      </c>
      <c r="F129" t="s">
        <v>229</v>
      </c>
      <c r="G129" t="s">
        <v>230</v>
      </c>
      <c r="H129">
        <v>-99</v>
      </c>
      <c r="I129">
        <f>SUMIF($D$2:D129, D129, $H$2:H129)</f>
        <v>-3</v>
      </c>
      <c r="J129" t="s">
        <v>61</v>
      </c>
      <c r="K129">
        <v>890</v>
      </c>
      <c r="L129">
        <f>ABS(Tabela4[[#This Row],[Quantidade]]*Tabela4[[#This Row],[Valor Unitario]])</f>
        <v>88110</v>
      </c>
      <c r="M129" t="s">
        <v>684</v>
      </c>
    </row>
    <row r="130" spans="1:13" ht="15" hidden="1" customHeight="1" x14ac:dyDescent="0.25">
      <c r="A130" s="17">
        <v>46051</v>
      </c>
      <c r="B130" t="s">
        <v>1163</v>
      </c>
      <c r="C130">
        <v>261</v>
      </c>
      <c r="D130">
        <v>5006</v>
      </c>
      <c r="E130" t="s">
        <v>127</v>
      </c>
      <c r="F130" t="s">
        <v>229</v>
      </c>
      <c r="G130" t="s">
        <v>230</v>
      </c>
      <c r="H130">
        <v>-56</v>
      </c>
      <c r="I130">
        <f>SUMIF($D$2:D130, D130, $H$2:H130)</f>
        <v>-9</v>
      </c>
      <c r="J130" t="s">
        <v>103</v>
      </c>
      <c r="K130">
        <v>22</v>
      </c>
      <c r="L130">
        <f>ABS(Tabela4[[#This Row],[Quantidade]]*Tabela4[[#This Row],[Valor Unitario]])</f>
        <v>1232</v>
      </c>
      <c r="M130" t="s">
        <v>1164</v>
      </c>
    </row>
    <row r="131" spans="1:13" ht="15" hidden="1" customHeight="1" x14ac:dyDescent="0.25">
      <c r="A131" s="17">
        <v>46053</v>
      </c>
      <c r="B131" t="s">
        <v>1515</v>
      </c>
      <c r="C131">
        <v>261</v>
      </c>
      <c r="D131">
        <v>9001</v>
      </c>
      <c r="E131" t="s">
        <v>154</v>
      </c>
      <c r="F131" t="s">
        <v>229</v>
      </c>
      <c r="G131" t="s">
        <v>230</v>
      </c>
      <c r="H131">
        <v>-71</v>
      </c>
      <c r="I131">
        <f>SUMIF($D$2:D131, D131, $H$2:H131)</f>
        <v>14</v>
      </c>
      <c r="J131" t="s">
        <v>61</v>
      </c>
      <c r="K131">
        <v>18</v>
      </c>
      <c r="L131">
        <f>ABS(Tabela4[[#This Row],[Quantidade]]*Tabela4[[#This Row],[Valor Unitario]])</f>
        <v>1278</v>
      </c>
      <c r="M131" t="s">
        <v>1516</v>
      </c>
    </row>
    <row r="132" spans="1:13" ht="15" hidden="1" customHeight="1" x14ac:dyDescent="0.25">
      <c r="A132" s="17">
        <v>46053</v>
      </c>
      <c r="B132" t="s">
        <v>1547</v>
      </c>
      <c r="C132">
        <v>261</v>
      </c>
      <c r="D132">
        <v>9002</v>
      </c>
      <c r="E132" t="s">
        <v>157</v>
      </c>
      <c r="F132" t="s">
        <v>229</v>
      </c>
      <c r="G132" t="s">
        <v>230</v>
      </c>
      <c r="H132">
        <v>-94</v>
      </c>
      <c r="I132">
        <f>SUMIF($D$2:D132, D132, $H$2:H132)</f>
        <v>-2</v>
      </c>
      <c r="J132" t="s">
        <v>61</v>
      </c>
      <c r="K132">
        <v>6.5</v>
      </c>
      <c r="L132">
        <f>ABS(Tabela4[[#This Row],[Quantidade]]*Tabela4[[#This Row],[Valor Unitario]])</f>
        <v>611</v>
      </c>
      <c r="M132" t="s">
        <v>1548</v>
      </c>
    </row>
    <row r="133" spans="1:13" ht="15" hidden="1" customHeight="1" x14ac:dyDescent="0.25">
      <c r="A133" s="17">
        <v>46054</v>
      </c>
      <c r="B133" t="s">
        <v>1101</v>
      </c>
      <c r="C133">
        <v>101</v>
      </c>
      <c r="D133">
        <v>5004</v>
      </c>
      <c r="E133" t="s">
        <v>123</v>
      </c>
      <c r="F133" t="s">
        <v>229</v>
      </c>
      <c r="G133" t="s">
        <v>230</v>
      </c>
      <c r="H133">
        <v>5</v>
      </c>
      <c r="I133">
        <f>SUMIF($D$2:D133, D133, $H$2:H133)</f>
        <v>-16</v>
      </c>
      <c r="J133" t="s">
        <v>61</v>
      </c>
      <c r="K133">
        <v>1350</v>
      </c>
      <c r="L133">
        <f>ABS(Tabela4[[#This Row],[Quantidade]]*Tabela4[[#This Row],[Valor Unitario]])</f>
        <v>6750</v>
      </c>
      <c r="M133" t="s">
        <v>1102</v>
      </c>
    </row>
    <row r="134" spans="1:13" ht="15" hidden="1" customHeight="1" x14ac:dyDescent="0.25">
      <c r="A134" s="17">
        <v>46054</v>
      </c>
      <c r="B134" t="s">
        <v>1389</v>
      </c>
      <c r="C134">
        <v>101</v>
      </c>
      <c r="D134">
        <v>7002</v>
      </c>
      <c r="E134" t="s">
        <v>143</v>
      </c>
      <c r="F134" t="s">
        <v>229</v>
      </c>
      <c r="G134" t="s">
        <v>230</v>
      </c>
      <c r="H134">
        <v>27</v>
      </c>
      <c r="I134">
        <f>SUMIF($D$2:D134, D134, $H$2:H134)</f>
        <v>-1</v>
      </c>
      <c r="J134" t="s">
        <v>61</v>
      </c>
      <c r="K134">
        <v>95</v>
      </c>
      <c r="L134">
        <f>ABS(Tabela4[[#This Row],[Quantidade]]*Tabela4[[#This Row],[Valor Unitario]])</f>
        <v>2565</v>
      </c>
      <c r="M134" t="s">
        <v>1390</v>
      </c>
    </row>
    <row r="135" spans="1:13" ht="15" hidden="1" customHeight="1" x14ac:dyDescent="0.25">
      <c r="A135" s="17">
        <v>46054</v>
      </c>
      <c r="B135" t="s">
        <v>1517</v>
      </c>
      <c r="C135">
        <v>101</v>
      </c>
      <c r="D135">
        <v>9001</v>
      </c>
      <c r="E135" t="s">
        <v>154</v>
      </c>
      <c r="F135" t="s">
        <v>229</v>
      </c>
      <c r="G135" t="s">
        <v>230</v>
      </c>
      <c r="H135">
        <v>84</v>
      </c>
      <c r="I135">
        <f>SUMIF($D$2:D135, D135, $H$2:H135)</f>
        <v>98</v>
      </c>
      <c r="J135" t="s">
        <v>61</v>
      </c>
      <c r="K135">
        <v>18</v>
      </c>
      <c r="L135">
        <f>ABS(Tabela4[[#This Row],[Quantidade]]*Tabela4[[#This Row],[Valor Unitario]])</f>
        <v>1512</v>
      </c>
      <c r="M135" t="s">
        <v>1518</v>
      </c>
    </row>
    <row r="136" spans="1:13" ht="15" hidden="1" customHeight="1" x14ac:dyDescent="0.25">
      <c r="A136" s="17">
        <v>46055</v>
      </c>
      <c r="B136" t="s">
        <v>557</v>
      </c>
      <c r="C136">
        <v>101</v>
      </c>
      <c r="D136">
        <v>2011</v>
      </c>
      <c r="E136" t="s">
        <v>84</v>
      </c>
      <c r="F136" t="s">
        <v>229</v>
      </c>
      <c r="G136" t="s">
        <v>230</v>
      </c>
      <c r="H136">
        <v>54</v>
      </c>
      <c r="I136">
        <f>SUMIF($D$2:D136, D136, $H$2:H136)</f>
        <v>65</v>
      </c>
      <c r="J136" t="s">
        <v>61</v>
      </c>
      <c r="K136">
        <v>9800</v>
      </c>
      <c r="L136">
        <f>ABS(Tabela4[[#This Row],[Quantidade]]*Tabela4[[#This Row],[Valor Unitario]])</f>
        <v>529200</v>
      </c>
      <c r="M136" t="s">
        <v>558</v>
      </c>
    </row>
    <row r="137" spans="1:13" ht="15" hidden="1" customHeight="1" x14ac:dyDescent="0.25">
      <c r="A137" s="17">
        <v>46055</v>
      </c>
      <c r="B137" t="s">
        <v>813</v>
      </c>
      <c r="C137">
        <v>101</v>
      </c>
      <c r="D137">
        <v>3001</v>
      </c>
      <c r="E137" t="s">
        <v>101</v>
      </c>
      <c r="F137" t="s">
        <v>229</v>
      </c>
      <c r="G137" t="s">
        <v>230</v>
      </c>
      <c r="H137">
        <v>96</v>
      </c>
      <c r="I137">
        <f>SUMIF($D$2:D137, D137, $H$2:H137)</f>
        <v>109</v>
      </c>
      <c r="J137" t="s">
        <v>103</v>
      </c>
      <c r="K137">
        <v>320</v>
      </c>
      <c r="L137">
        <f>ABS(Tabela4[[#This Row],[Quantidade]]*Tabela4[[#This Row],[Valor Unitario]])</f>
        <v>30720</v>
      </c>
      <c r="M137" t="s">
        <v>814</v>
      </c>
    </row>
    <row r="138" spans="1:13" ht="15" hidden="1" customHeight="1" x14ac:dyDescent="0.25">
      <c r="A138" s="17">
        <v>46055</v>
      </c>
      <c r="B138" t="s">
        <v>1293</v>
      </c>
      <c r="C138">
        <v>101</v>
      </c>
      <c r="D138">
        <v>6003</v>
      </c>
      <c r="E138" t="s">
        <v>136</v>
      </c>
      <c r="F138" t="s">
        <v>229</v>
      </c>
      <c r="G138" t="s">
        <v>230</v>
      </c>
      <c r="H138">
        <v>10</v>
      </c>
      <c r="I138">
        <f>SUMIF($D$2:D138, D138, $H$2:H138)</f>
        <v>7</v>
      </c>
      <c r="J138" t="s">
        <v>103</v>
      </c>
      <c r="K138">
        <v>85</v>
      </c>
      <c r="L138">
        <f>ABS(Tabela4[[#This Row],[Quantidade]]*Tabela4[[#This Row],[Valor Unitario]])</f>
        <v>850</v>
      </c>
      <c r="M138" t="s">
        <v>1294</v>
      </c>
    </row>
    <row r="139" spans="1:13" ht="15" hidden="1" customHeight="1" x14ac:dyDescent="0.25">
      <c r="A139" s="17">
        <v>46056</v>
      </c>
      <c r="B139" t="s">
        <v>1133</v>
      </c>
      <c r="C139">
        <v>101</v>
      </c>
      <c r="D139">
        <v>5005</v>
      </c>
      <c r="E139" t="s">
        <v>125</v>
      </c>
      <c r="F139" t="s">
        <v>229</v>
      </c>
      <c r="G139" t="s">
        <v>230</v>
      </c>
      <c r="H139">
        <v>27</v>
      </c>
      <c r="I139">
        <f>SUMIF($D$2:D139, D139, $H$2:H139)</f>
        <v>16</v>
      </c>
      <c r="J139" t="s">
        <v>61</v>
      </c>
      <c r="K139">
        <v>780</v>
      </c>
      <c r="L139">
        <f>ABS(Tabela4[[#This Row],[Quantidade]]*Tabela4[[#This Row],[Valor Unitario]])</f>
        <v>21060</v>
      </c>
      <c r="M139" t="s">
        <v>1134</v>
      </c>
    </row>
    <row r="140" spans="1:13" ht="15" hidden="1" customHeight="1" x14ac:dyDescent="0.25">
      <c r="A140" s="17">
        <v>46056</v>
      </c>
      <c r="B140" t="s">
        <v>1197</v>
      </c>
      <c r="C140">
        <v>101</v>
      </c>
      <c r="D140">
        <v>5007</v>
      </c>
      <c r="E140" t="s">
        <v>129</v>
      </c>
      <c r="F140" t="s">
        <v>229</v>
      </c>
      <c r="G140" t="s">
        <v>230</v>
      </c>
      <c r="H140">
        <v>15</v>
      </c>
      <c r="I140">
        <f>SUMIF($D$2:D140, D140, $H$2:H140)</f>
        <v>-66</v>
      </c>
      <c r="J140" t="s">
        <v>61</v>
      </c>
      <c r="K140">
        <v>340</v>
      </c>
      <c r="L140">
        <f>ABS(Tabela4[[#This Row],[Quantidade]]*Tabela4[[#This Row],[Valor Unitario]])</f>
        <v>5100</v>
      </c>
      <c r="M140" t="s">
        <v>1198</v>
      </c>
    </row>
    <row r="141" spans="1:13" ht="15" hidden="1" customHeight="1" x14ac:dyDescent="0.25">
      <c r="A141" s="17">
        <v>46056</v>
      </c>
      <c r="B141" t="s">
        <v>1613</v>
      </c>
      <c r="C141">
        <v>101</v>
      </c>
      <c r="D141">
        <v>9004</v>
      </c>
      <c r="E141" t="s">
        <v>161</v>
      </c>
      <c r="F141" t="s">
        <v>229</v>
      </c>
      <c r="G141" t="s">
        <v>230</v>
      </c>
      <c r="H141">
        <v>87</v>
      </c>
      <c r="I141">
        <f>SUMIF($D$2:D141, D141, $H$2:H141)</f>
        <v>105</v>
      </c>
      <c r="J141" t="s">
        <v>61</v>
      </c>
      <c r="K141">
        <v>45</v>
      </c>
      <c r="L141">
        <f>ABS(Tabela4[[#This Row],[Quantidade]]*Tabela4[[#This Row],[Valor Unitario]])</f>
        <v>3915</v>
      </c>
      <c r="M141" t="s">
        <v>1614</v>
      </c>
    </row>
    <row r="142" spans="1:13" ht="15" hidden="1" customHeight="1" x14ac:dyDescent="0.25">
      <c r="A142" s="17">
        <v>46057</v>
      </c>
      <c r="B142" t="s">
        <v>653</v>
      </c>
      <c r="C142">
        <v>101</v>
      </c>
      <c r="D142">
        <v>2357</v>
      </c>
      <c r="E142" t="s">
        <v>91</v>
      </c>
      <c r="F142" t="s">
        <v>229</v>
      </c>
      <c r="G142" t="s">
        <v>230</v>
      </c>
      <c r="H142">
        <v>45</v>
      </c>
      <c r="I142">
        <f>SUMIF($D$2:D142, D142, $H$2:H142)</f>
        <v>63</v>
      </c>
      <c r="J142" t="s">
        <v>61</v>
      </c>
      <c r="K142">
        <v>210</v>
      </c>
      <c r="L142">
        <f>ABS(Tabela4[[#This Row],[Quantidade]]*Tabela4[[#This Row],[Valor Unitario]])</f>
        <v>9450</v>
      </c>
      <c r="M142" t="s">
        <v>654</v>
      </c>
    </row>
    <row r="143" spans="1:13" ht="15" hidden="1" customHeight="1" x14ac:dyDescent="0.25">
      <c r="A143" s="17">
        <v>46057</v>
      </c>
      <c r="B143" t="s">
        <v>973</v>
      </c>
      <c r="C143">
        <v>101</v>
      </c>
      <c r="D143">
        <v>4002</v>
      </c>
      <c r="E143" t="s">
        <v>114</v>
      </c>
      <c r="F143" t="s">
        <v>229</v>
      </c>
      <c r="G143" t="s">
        <v>230</v>
      </c>
      <c r="H143">
        <v>90</v>
      </c>
      <c r="I143">
        <f>SUMIF($D$2:D143, D143, $H$2:H143)</f>
        <v>26</v>
      </c>
      <c r="J143" t="s">
        <v>61</v>
      </c>
      <c r="K143">
        <v>4100</v>
      </c>
      <c r="L143">
        <f>ABS(Tabela4[[#This Row],[Quantidade]]*Tabela4[[#This Row],[Valor Unitario]])</f>
        <v>369000</v>
      </c>
      <c r="M143" t="s">
        <v>974</v>
      </c>
    </row>
    <row r="144" spans="1:13" ht="15" hidden="1" customHeight="1" x14ac:dyDescent="0.25">
      <c r="A144" s="17">
        <v>46057</v>
      </c>
      <c r="B144" t="s">
        <v>1485</v>
      </c>
      <c r="C144">
        <v>101</v>
      </c>
      <c r="D144">
        <v>8002</v>
      </c>
      <c r="E144" t="s">
        <v>151</v>
      </c>
      <c r="F144" t="s">
        <v>229</v>
      </c>
      <c r="G144" t="s">
        <v>230</v>
      </c>
      <c r="H144">
        <v>25</v>
      </c>
      <c r="I144">
        <f>SUMIF($D$2:D144, D144, $H$2:H144)</f>
        <v>64</v>
      </c>
      <c r="J144" t="s">
        <v>152</v>
      </c>
      <c r="K144">
        <v>32</v>
      </c>
      <c r="L144">
        <f>ABS(Tabela4[[#This Row],[Quantidade]]*Tabela4[[#This Row],[Valor Unitario]])</f>
        <v>800</v>
      </c>
      <c r="M144" t="s">
        <v>1486</v>
      </c>
    </row>
    <row r="145" spans="1:13" ht="15" hidden="1" customHeight="1" x14ac:dyDescent="0.25">
      <c r="A145" s="17">
        <v>46058</v>
      </c>
      <c r="B145" t="s">
        <v>1037</v>
      </c>
      <c r="C145">
        <v>101</v>
      </c>
      <c r="D145">
        <v>5002</v>
      </c>
      <c r="E145" t="s">
        <v>119</v>
      </c>
      <c r="F145" t="s">
        <v>229</v>
      </c>
      <c r="G145" t="s">
        <v>230</v>
      </c>
      <c r="H145">
        <v>74</v>
      </c>
      <c r="I145">
        <f>SUMIF($D$2:D145, D145, $H$2:H145)</f>
        <v>59</v>
      </c>
      <c r="J145" t="s">
        <v>61</v>
      </c>
      <c r="K145">
        <v>17800</v>
      </c>
      <c r="L145">
        <f>ABS(Tabela4[[#This Row],[Quantidade]]*Tabela4[[#This Row],[Valor Unitario]])</f>
        <v>1317200</v>
      </c>
      <c r="M145" t="s">
        <v>1038</v>
      </c>
    </row>
    <row r="146" spans="1:13" ht="15" hidden="1" customHeight="1" x14ac:dyDescent="0.25">
      <c r="A146" s="17">
        <v>46059</v>
      </c>
      <c r="B146" t="s">
        <v>461</v>
      </c>
      <c r="C146">
        <v>101</v>
      </c>
      <c r="D146">
        <v>2008</v>
      </c>
      <c r="E146" t="s">
        <v>78</v>
      </c>
      <c r="F146" t="s">
        <v>229</v>
      </c>
      <c r="G146" t="s">
        <v>230</v>
      </c>
      <c r="H146">
        <v>87</v>
      </c>
      <c r="I146">
        <f>SUMIF($D$2:D146, D146, $H$2:H146)</f>
        <v>49</v>
      </c>
      <c r="J146" t="s">
        <v>61</v>
      </c>
      <c r="K146">
        <v>24500</v>
      </c>
      <c r="L146">
        <f>ABS(Tabela4[[#This Row],[Quantidade]]*Tabela4[[#This Row],[Valor Unitario]])</f>
        <v>2131500</v>
      </c>
      <c r="M146" t="s">
        <v>462</v>
      </c>
    </row>
    <row r="147" spans="1:13" ht="15" hidden="1" customHeight="1" x14ac:dyDescent="0.25">
      <c r="A147" s="17">
        <v>46059</v>
      </c>
      <c r="B147" t="s">
        <v>1549</v>
      </c>
      <c r="C147">
        <v>101</v>
      </c>
      <c r="D147">
        <v>9002</v>
      </c>
      <c r="E147" t="s">
        <v>157</v>
      </c>
      <c r="F147" t="s">
        <v>229</v>
      </c>
      <c r="G147" t="s">
        <v>230</v>
      </c>
      <c r="H147">
        <v>51</v>
      </c>
      <c r="I147">
        <f>SUMIF($D$2:D147, D147, $H$2:H147)</f>
        <v>49</v>
      </c>
      <c r="J147" t="s">
        <v>61</v>
      </c>
      <c r="K147">
        <v>6.5</v>
      </c>
      <c r="L147">
        <f>ABS(Tabela4[[#This Row],[Quantidade]]*Tabela4[[#This Row],[Valor Unitario]])</f>
        <v>331.5</v>
      </c>
      <c r="M147" t="s">
        <v>1550</v>
      </c>
    </row>
    <row r="148" spans="1:13" ht="15" hidden="1" customHeight="1" x14ac:dyDescent="0.25">
      <c r="A148" s="17">
        <v>46059</v>
      </c>
      <c r="B148" t="s">
        <v>1645</v>
      </c>
      <c r="C148">
        <v>101</v>
      </c>
      <c r="D148">
        <v>9005</v>
      </c>
      <c r="E148" t="s">
        <v>163</v>
      </c>
      <c r="F148" t="s">
        <v>229</v>
      </c>
      <c r="G148" t="s">
        <v>230</v>
      </c>
      <c r="H148">
        <v>22</v>
      </c>
      <c r="I148">
        <f>SUMIF($D$2:D148, D148, $H$2:H148)</f>
        <v>24</v>
      </c>
      <c r="J148" t="s">
        <v>61</v>
      </c>
      <c r="K148">
        <v>8.9</v>
      </c>
      <c r="L148">
        <f>ABS(Tabela4[[#This Row],[Quantidade]]*Tabela4[[#This Row],[Valor Unitario]])</f>
        <v>195.8</v>
      </c>
      <c r="M148" t="s">
        <v>1646</v>
      </c>
    </row>
    <row r="149" spans="1:13" ht="15" hidden="1" customHeight="1" x14ac:dyDescent="0.25">
      <c r="A149" s="17">
        <v>46060</v>
      </c>
      <c r="B149" t="s">
        <v>429</v>
      </c>
      <c r="C149">
        <v>101</v>
      </c>
      <c r="D149">
        <v>2007</v>
      </c>
      <c r="E149" t="s">
        <v>76</v>
      </c>
      <c r="F149" t="s">
        <v>229</v>
      </c>
      <c r="G149" t="s">
        <v>230</v>
      </c>
      <c r="H149">
        <v>70</v>
      </c>
      <c r="I149">
        <f>SUMIF($D$2:D149, D149, $H$2:H149)</f>
        <v>144</v>
      </c>
      <c r="J149" t="s">
        <v>61</v>
      </c>
      <c r="K149">
        <v>1980</v>
      </c>
      <c r="L149">
        <f>ABS(Tabela4[[#This Row],[Quantidade]]*Tabela4[[#This Row],[Valor Unitario]])</f>
        <v>138600</v>
      </c>
      <c r="M149" t="s">
        <v>430</v>
      </c>
    </row>
    <row r="150" spans="1:13" ht="15" hidden="1" customHeight="1" x14ac:dyDescent="0.25">
      <c r="A150" s="17">
        <v>46060</v>
      </c>
      <c r="B150" t="s">
        <v>685</v>
      </c>
      <c r="C150">
        <v>101</v>
      </c>
      <c r="D150">
        <v>2358</v>
      </c>
      <c r="E150" t="s">
        <v>93</v>
      </c>
      <c r="F150" t="s">
        <v>229</v>
      </c>
      <c r="G150" t="s">
        <v>230</v>
      </c>
      <c r="H150">
        <v>40</v>
      </c>
      <c r="I150">
        <f>SUMIF($D$2:D150, D150, $H$2:H150)</f>
        <v>37</v>
      </c>
      <c r="J150" t="s">
        <v>61</v>
      </c>
      <c r="K150">
        <v>890</v>
      </c>
      <c r="L150">
        <f>ABS(Tabela4[[#This Row],[Quantidade]]*Tabela4[[#This Row],[Valor Unitario]])</f>
        <v>35600</v>
      </c>
      <c r="M150" t="s">
        <v>686</v>
      </c>
    </row>
    <row r="151" spans="1:13" ht="15" hidden="1" customHeight="1" x14ac:dyDescent="0.25">
      <c r="A151" s="17">
        <v>46060</v>
      </c>
      <c r="B151" t="s">
        <v>1005</v>
      </c>
      <c r="C151">
        <v>101</v>
      </c>
      <c r="D151">
        <v>5001</v>
      </c>
      <c r="E151" t="s">
        <v>116</v>
      </c>
      <c r="F151" t="s">
        <v>229</v>
      </c>
      <c r="G151" t="s">
        <v>230</v>
      </c>
      <c r="H151">
        <v>33</v>
      </c>
      <c r="I151">
        <f>SUMIF($D$2:D151, D151, $H$2:H151)</f>
        <v>84</v>
      </c>
      <c r="J151" t="s">
        <v>61</v>
      </c>
      <c r="K151">
        <v>32500</v>
      </c>
      <c r="L151">
        <f>ABS(Tabela4[[#This Row],[Quantidade]]*Tabela4[[#This Row],[Valor Unitario]])</f>
        <v>1072500</v>
      </c>
      <c r="M151" t="s">
        <v>1006</v>
      </c>
    </row>
    <row r="152" spans="1:13" ht="15" hidden="1" customHeight="1" x14ac:dyDescent="0.25">
      <c r="A152" s="17">
        <v>46060</v>
      </c>
      <c r="B152" t="s">
        <v>1357</v>
      </c>
      <c r="C152">
        <v>101</v>
      </c>
      <c r="D152">
        <v>7001</v>
      </c>
      <c r="E152" t="s">
        <v>140</v>
      </c>
      <c r="F152" t="s">
        <v>229</v>
      </c>
      <c r="G152" t="s">
        <v>230</v>
      </c>
      <c r="H152">
        <v>63</v>
      </c>
      <c r="I152">
        <f>SUMIF($D$2:D152, D152, $H$2:H152)</f>
        <v>-20</v>
      </c>
      <c r="J152" t="s">
        <v>61</v>
      </c>
      <c r="K152">
        <v>210</v>
      </c>
      <c r="L152">
        <f>ABS(Tabela4[[#This Row],[Quantidade]]*Tabela4[[#This Row],[Valor Unitario]])</f>
        <v>13230</v>
      </c>
      <c r="M152" t="s">
        <v>1358</v>
      </c>
    </row>
    <row r="153" spans="1:13" ht="15" hidden="1" customHeight="1" x14ac:dyDescent="0.25">
      <c r="A153" s="17">
        <v>46061</v>
      </c>
      <c r="B153" t="s">
        <v>1229</v>
      </c>
      <c r="C153">
        <v>101</v>
      </c>
      <c r="D153">
        <v>6001</v>
      </c>
      <c r="E153" t="s">
        <v>131</v>
      </c>
      <c r="F153" t="s">
        <v>229</v>
      </c>
      <c r="G153" t="s">
        <v>230</v>
      </c>
      <c r="H153">
        <v>59</v>
      </c>
      <c r="I153">
        <f>SUMIF($D$2:D153, D153, $H$2:H153)</f>
        <v>66</v>
      </c>
      <c r="J153" t="s">
        <v>61</v>
      </c>
      <c r="K153">
        <v>15800</v>
      </c>
      <c r="L153">
        <f>ABS(Tabela4[[#This Row],[Quantidade]]*Tabela4[[#This Row],[Valor Unitario]])</f>
        <v>932200</v>
      </c>
      <c r="M153" t="s">
        <v>1230</v>
      </c>
    </row>
    <row r="154" spans="1:13" ht="15" hidden="1" customHeight="1" x14ac:dyDescent="0.25">
      <c r="A154" s="17">
        <v>46061</v>
      </c>
      <c r="B154" t="s">
        <v>1581</v>
      </c>
      <c r="C154">
        <v>101</v>
      </c>
      <c r="D154">
        <v>9003</v>
      </c>
      <c r="E154" t="s">
        <v>159</v>
      </c>
      <c r="F154" t="s">
        <v>229</v>
      </c>
      <c r="G154" t="s">
        <v>230</v>
      </c>
      <c r="H154">
        <v>78</v>
      </c>
      <c r="I154">
        <f>SUMIF($D$2:D154, D154, $H$2:H154)</f>
        <v>51</v>
      </c>
      <c r="J154" t="s">
        <v>61</v>
      </c>
      <c r="K154">
        <v>2.2000000000000002</v>
      </c>
      <c r="L154">
        <f>ABS(Tabela4[[#This Row],[Quantidade]]*Tabela4[[#This Row],[Valor Unitario]])</f>
        <v>171.60000000000002</v>
      </c>
      <c r="M154" t="s">
        <v>1582</v>
      </c>
    </row>
    <row r="155" spans="1:13" ht="15" hidden="1" customHeight="1" x14ac:dyDescent="0.25">
      <c r="A155" s="17">
        <v>46062</v>
      </c>
      <c r="B155" t="s">
        <v>621</v>
      </c>
      <c r="C155">
        <v>101</v>
      </c>
      <c r="D155">
        <v>2356</v>
      </c>
      <c r="E155" t="s">
        <v>88</v>
      </c>
      <c r="F155" t="s">
        <v>229</v>
      </c>
      <c r="G155" t="s">
        <v>230</v>
      </c>
      <c r="H155">
        <v>95</v>
      </c>
      <c r="I155">
        <f>SUMIF($D$2:D155, D155, $H$2:H155)</f>
        <v>110</v>
      </c>
      <c r="J155" t="s">
        <v>61</v>
      </c>
      <c r="K155">
        <v>145</v>
      </c>
      <c r="L155">
        <f>ABS(Tabela4[[#This Row],[Quantidade]]*Tabela4[[#This Row],[Valor Unitario]])</f>
        <v>13775</v>
      </c>
      <c r="M155" t="s">
        <v>622</v>
      </c>
    </row>
    <row r="156" spans="1:13" ht="15" customHeight="1" x14ac:dyDescent="0.25">
      <c r="A156" s="17">
        <v>46063</v>
      </c>
      <c r="B156" t="s">
        <v>717</v>
      </c>
      <c r="C156">
        <v>101</v>
      </c>
      <c r="D156">
        <v>2359</v>
      </c>
      <c r="E156" t="s">
        <v>95</v>
      </c>
      <c r="F156" t="s">
        <v>229</v>
      </c>
      <c r="G156" t="s">
        <v>230</v>
      </c>
      <c r="H156">
        <v>16</v>
      </c>
      <c r="I156">
        <f>SUMIF($D$2:D156, D156, $H$2:H156)</f>
        <v>32</v>
      </c>
      <c r="J156" t="s">
        <v>61</v>
      </c>
      <c r="K156">
        <v>1240</v>
      </c>
      <c r="L156">
        <f>ABS(Tabela4[[#This Row],[Quantidade]]*Tabela4[[#This Row],[Valor Unitario]])</f>
        <v>19840</v>
      </c>
      <c r="M156" t="s">
        <v>718</v>
      </c>
    </row>
    <row r="157" spans="1:13" ht="15" hidden="1" customHeight="1" x14ac:dyDescent="0.25">
      <c r="A157" s="17">
        <v>46063</v>
      </c>
      <c r="B157" t="s">
        <v>749</v>
      </c>
      <c r="C157">
        <v>101</v>
      </c>
      <c r="D157">
        <v>2360</v>
      </c>
      <c r="E157" t="s">
        <v>97</v>
      </c>
      <c r="F157" t="s">
        <v>229</v>
      </c>
      <c r="G157" t="s">
        <v>230</v>
      </c>
      <c r="H157">
        <v>96</v>
      </c>
      <c r="I157">
        <f>SUMIF($D$2:D157, D157, $H$2:H157)</f>
        <v>111</v>
      </c>
      <c r="J157" t="s">
        <v>61</v>
      </c>
      <c r="K157">
        <v>2380</v>
      </c>
      <c r="L157">
        <f>ABS(Tabela4[[#This Row],[Quantidade]]*Tabela4[[#This Row],[Valor Unitario]])</f>
        <v>228480</v>
      </c>
      <c r="M157" t="s">
        <v>750</v>
      </c>
    </row>
    <row r="158" spans="1:13" ht="15" hidden="1" customHeight="1" x14ac:dyDescent="0.25">
      <c r="A158" s="17">
        <v>46063</v>
      </c>
      <c r="B158" t="s">
        <v>909</v>
      </c>
      <c r="C158">
        <v>101</v>
      </c>
      <c r="D158">
        <v>3004</v>
      </c>
      <c r="E158" t="s">
        <v>109</v>
      </c>
      <c r="F158" t="s">
        <v>229</v>
      </c>
      <c r="G158" t="s">
        <v>230</v>
      </c>
      <c r="H158">
        <v>90</v>
      </c>
      <c r="I158">
        <f>SUMIF($D$2:D158, D158, $H$2:H158)</f>
        <v>53</v>
      </c>
      <c r="J158" t="s">
        <v>61</v>
      </c>
      <c r="K158">
        <v>2180</v>
      </c>
      <c r="L158">
        <f>ABS(Tabela4[[#This Row],[Quantidade]]*Tabela4[[#This Row],[Valor Unitario]])</f>
        <v>196200</v>
      </c>
      <c r="M158" t="s">
        <v>910</v>
      </c>
    </row>
    <row r="159" spans="1:13" ht="15" hidden="1" customHeight="1" x14ac:dyDescent="0.25">
      <c r="A159" s="17">
        <v>46063</v>
      </c>
      <c r="B159" t="s">
        <v>1453</v>
      </c>
      <c r="C159">
        <v>101</v>
      </c>
      <c r="D159">
        <v>8001</v>
      </c>
      <c r="E159" t="s">
        <v>147</v>
      </c>
      <c r="F159" t="s">
        <v>229</v>
      </c>
      <c r="G159" t="s">
        <v>230</v>
      </c>
      <c r="H159">
        <v>9</v>
      </c>
      <c r="I159">
        <f>SUMIF($D$2:D159, D159, $H$2:H159)</f>
        <v>-46</v>
      </c>
      <c r="J159" t="s">
        <v>149</v>
      </c>
      <c r="K159">
        <v>28</v>
      </c>
      <c r="L159">
        <f>ABS(Tabela4[[#This Row],[Quantidade]]*Tabela4[[#This Row],[Valor Unitario]])</f>
        <v>252</v>
      </c>
      <c r="M159" t="s">
        <v>1454</v>
      </c>
    </row>
    <row r="160" spans="1:13" ht="15" hidden="1" customHeight="1" x14ac:dyDescent="0.25">
      <c r="A160" s="17">
        <v>46064</v>
      </c>
      <c r="B160" t="s">
        <v>403</v>
      </c>
      <c r="C160">
        <v>101</v>
      </c>
      <c r="D160">
        <v>2006</v>
      </c>
      <c r="E160" t="s">
        <v>74</v>
      </c>
      <c r="F160" t="s">
        <v>229</v>
      </c>
      <c r="G160" t="s">
        <v>230</v>
      </c>
      <c r="H160">
        <v>29</v>
      </c>
      <c r="I160">
        <f>SUMIF($D$2:D160, D160, $H$2:H160)</f>
        <v>37</v>
      </c>
      <c r="J160" t="s">
        <v>61</v>
      </c>
      <c r="K160">
        <v>2870</v>
      </c>
      <c r="L160">
        <f>ABS(Tabela4[[#This Row],[Quantidade]]*Tabela4[[#This Row],[Valor Unitario]])</f>
        <v>83230</v>
      </c>
      <c r="M160" t="s">
        <v>313</v>
      </c>
    </row>
    <row r="161" spans="1:13" ht="15" hidden="1" customHeight="1" x14ac:dyDescent="0.25">
      <c r="A161" s="17">
        <v>46064</v>
      </c>
      <c r="B161" t="s">
        <v>1421</v>
      </c>
      <c r="C161">
        <v>101</v>
      </c>
      <c r="D161">
        <v>7003</v>
      </c>
      <c r="E161" t="s">
        <v>145</v>
      </c>
      <c r="F161" t="s">
        <v>229</v>
      </c>
      <c r="G161" t="s">
        <v>230</v>
      </c>
      <c r="H161">
        <v>27</v>
      </c>
      <c r="I161">
        <f>SUMIF($D$2:D161, D161, $H$2:H161)</f>
        <v>37</v>
      </c>
      <c r="J161" t="s">
        <v>61</v>
      </c>
      <c r="K161">
        <v>130</v>
      </c>
      <c r="L161">
        <f>ABS(Tabela4[[#This Row],[Quantidade]]*Tabela4[[#This Row],[Valor Unitario]])</f>
        <v>3510</v>
      </c>
      <c r="M161" t="s">
        <v>1422</v>
      </c>
    </row>
    <row r="162" spans="1:13" ht="15" hidden="1" customHeight="1" x14ac:dyDescent="0.25">
      <c r="A162" s="17">
        <v>46065</v>
      </c>
      <c r="B162" t="s">
        <v>387</v>
      </c>
      <c r="C162">
        <v>101</v>
      </c>
      <c r="D162">
        <v>2005</v>
      </c>
      <c r="E162" t="s">
        <v>71</v>
      </c>
      <c r="F162" t="s">
        <v>229</v>
      </c>
      <c r="G162" t="s">
        <v>230</v>
      </c>
      <c r="H162">
        <v>86</v>
      </c>
      <c r="I162">
        <f>SUMIF($D$2:D162, D162, $H$2:H162)</f>
        <v>10</v>
      </c>
      <c r="J162" t="s">
        <v>61</v>
      </c>
      <c r="K162">
        <v>3450</v>
      </c>
      <c r="L162">
        <f>ABS(Tabela4[[#This Row],[Quantidade]]*Tabela4[[#This Row],[Valor Unitario]])</f>
        <v>296700</v>
      </c>
      <c r="M162" t="s">
        <v>297</v>
      </c>
    </row>
    <row r="163" spans="1:13" ht="15" hidden="1" customHeight="1" x14ac:dyDescent="0.25">
      <c r="A163" s="17">
        <v>46065</v>
      </c>
      <c r="B163" t="s">
        <v>1325</v>
      </c>
      <c r="C163">
        <v>101</v>
      </c>
      <c r="D163">
        <v>6004</v>
      </c>
      <c r="E163" t="s">
        <v>138</v>
      </c>
      <c r="F163" t="s">
        <v>229</v>
      </c>
      <c r="G163" t="s">
        <v>230</v>
      </c>
      <c r="H163">
        <v>99</v>
      </c>
      <c r="I163">
        <f>SUMIF($D$2:D163, D163, $H$2:H163)</f>
        <v>140</v>
      </c>
      <c r="J163" t="s">
        <v>61</v>
      </c>
      <c r="K163">
        <v>2650</v>
      </c>
      <c r="L163">
        <f>ABS(Tabela4[[#This Row],[Quantidade]]*Tabela4[[#This Row],[Valor Unitario]])</f>
        <v>262350</v>
      </c>
      <c r="M163" t="s">
        <v>1326</v>
      </c>
    </row>
    <row r="164" spans="1:13" ht="15" hidden="1" customHeight="1" x14ac:dyDescent="0.25">
      <c r="A164" s="17">
        <v>46066</v>
      </c>
      <c r="B164" t="s">
        <v>371</v>
      </c>
      <c r="C164">
        <v>101</v>
      </c>
      <c r="D164">
        <v>2004</v>
      </c>
      <c r="E164" t="s">
        <v>69</v>
      </c>
      <c r="F164" t="s">
        <v>229</v>
      </c>
      <c r="G164" t="s">
        <v>230</v>
      </c>
      <c r="H164">
        <v>15</v>
      </c>
      <c r="I164">
        <f>SUMIF($D$2:D164, D164, $H$2:H164)</f>
        <v>63</v>
      </c>
      <c r="J164" t="s">
        <v>61</v>
      </c>
      <c r="K164">
        <v>11800</v>
      </c>
      <c r="L164">
        <f>ABS(Tabela4[[#This Row],[Quantidade]]*Tabela4[[#This Row],[Valor Unitario]])</f>
        <v>177000</v>
      </c>
      <c r="M164" t="s">
        <v>281</v>
      </c>
    </row>
    <row r="165" spans="1:13" ht="15" hidden="1" customHeight="1" x14ac:dyDescent="0.25">
      <c r="A165" s="17">
        <v>46066</v>
      </c>
      <c r="B165" t="s">
        <v>493</v>
      </c>
      <c r="C165">
        <v>101</v>
      </c>
      <c r="D165">
        <v>2009</v>
      </c>
      <c r="E165" t="s">
        <v>80</v>
      </c>
      <c r="F165" t="s">
        <v>229</v>
      </c>
      <c r="G165" t="s">
        <v>230</v>
      </c>
      <c r="H165">
        <v>3</v>
      </c>
      <c r="I165">
        <f>SUMIF($D$2:D165, D165, $H$2:H165)</f>
        <v>54</v>
      </c>
      <c r="J165" t="s">
        <v>61</v>
      </c>
      <c r="K165">
        <v>1650</v>
      </c>
      <c r="L165">
        <f>ABS(Tabela4[[#This Row],[Quantidade]]*Tabela4[[#This Row],[Valor Unitario]])</f>
        <v>4950</v>
      </c>
      <c r="M165" t="s">
        <v>494</v>
      </c>
    </row>
    <row r="166" spans="1:13" ht="15" hidden="1" customHeight="1" x14ac:dyDescent="0.25">
      <c r="A166" s="17">
        <v>46066</v>
      </c>
      <c r="B166" t="s">
        <v>781</v>
      </c>
      <c r="C166">
        <v>101</v>
      </c>
      <c r="D166">
        <v>2361</v>
      </c>
      <c r="E166" t="s">
        <v>99</v>
      </c>
      <c r="F166" t="s">
        <v>229</v>
      </c>
      <c r="G166" t="s">
        <v>230</v>
      </c>
      <c r="H166">
        <v>12</v>
      </c>
      <c r="I166">
        <f>SUMIF($D$2:D166, D166, $H$2:H166)</f>
        <v>26</v>
      </c>
      <c r="J166" t="s">
        <v>61</v>
      </c>
      <c r="K166">
        <v>68</v>
      </c>
      <c r="L166">
        <f>ABS(Tabela4[[#This Row],[Quantidade]]*Tabela4[[#This Row],[Valor Unitario]])</f>
        <v>816</v>
      </c>
      <c r="M166" t="s">
        <v>782</v>
      </c>
    </row>
    <row r="167" spans="1:13" ht="15" hidden="1" customHeight="1" x14ac:dyDescent="0.25">
      <c r="A167" s="17">
        <v>46066</v>
      </c>
      <c r="B167" t="s">
        <v>877</v>
      </c>
      <c r="C167">
        <v>101</v>
      </c>
      <c r="D167">
        <v>3003</v>
      </c>
      <c r="E167" t="s">
        <v>107</v>
      </c>
      <c r="F167" t="s">
        <v>229</v>
      </c>
      <c r="G167" t="s">
        <v>230</v>
      </c>
      <c r="H167">
        <v>7</v>
      </c>
      <c r="I167">
        <f>SUMIF($D$2:D167, D167, $H$2:H167)</f>
        <v>64</v>
      </c>
      <c r="J167" t="s">
        <v>61</v>
      </c>
      <c r="K167">
        <v>2450</v>
      </c>
      <c r="L167">
        <f>ABS(Tabela4[[#This Row],[Quantidade]]*Tabela4[[#This Row],[Valor Unitario]])</f>
        <v>17150</v>
      </c>
      <c r="M167" t="s">
        <v>878</v>
      </c>
    </row>
    <row r="168" spans="1:13" ht="15" hidden="1" customHeight="1" x14ac:dyDescent="0.25">
      <c r="A168" s="17">
        <v>46066</v>
      </c>
      <c r="B168" t="s">
        <v>941</v>
      </c>
      <c r="C168">
        <v>101</v>
      </c>
      <c r="D168">
        <v>4001</v>
      </c>
      <c r="E168" t="s">
        <v>111</v>
      </c>
      <c r="F168" t="s">
        <v>229</v>
      </c>
      <c r="G168" t="s">
        <v>230</v>
      </c>
      <c r="H168">
        <v>61</v>
      </c>
      <c r="I168">
        <f>SUMIF($D$2:D168, D168, $H$2:H168)</f>
        <v>73</v>
      </c>
      <c r="J168" t="s">
        <v>61</v>
      </c>
      <c r="K168">
        <v>3200</v>
      </c>
      <c r="L168">
        <f>ABS(Tabela4[[#This Row],[Quantidade]]*Tabela4[[#This Row],[Valor Unitario]])</f>
        <v>195200</v>
      </c>
      <c r="M168" t="s">
        <v>942</v>
      </c>
    </row>
    <row r="169" spans="1:13" hidden="1" x14ac:dyDescent="0.25">
      <c r="A169" s="17">
        <v>46067</v>
      </c>
      <c r="B169" t="s">
        <v>525</v>
      </c>
      <c r="C169">
        <v>101</v>
      </c>
      <c r="D169">
        <v>2010</v>
      </c>
      <c r="E169" t="s">
        <v>82</v>
      </c>
      <c r="F169" t="s">
        <v>229</v>
      </c>
      <c r="G169" t="s">
        <v>230</v>
      </c>
      <c r="H169">
        <v>12</v>
      </c>
      <c r="I169">
        <f>SUMIF($D$2:D169, D169, $H$2:H169)</f>
        <v>-5</v>
      </c>
      <c r="J169" t="s">
        <v>61</v>
      </c>
      <c r="K169">
        <v>2150</v>
      </c>
      <c r="L169">
        <f>ABS(Tabela4[[#This Row],[Quantidade]]*Tabela4[[#This Row],[Valor Unitario]])</f>
        <v>25800</v>
      </c>
      <c r="M169" t="s">
        <v>526</v>
      </c>
    </row>
    <row r="170" spans="1:13" hidden="1" x14ac:dyDescent="0.25">
      <c r="A170" s="17">
        <v>46067</v>
      </c>
      <c r="B170" t="s">
        <v>589</v>
      </c>
      <c r="C170">
        <v>101</v>
      </c>
      <c r="D170">
        <v>2012</v>
      </c>
      <c r="E170" t="s">
        <v>86</v>
      </c>
      <c r="F170" t="s">
        <v>229</v>
      </c>
      <c r="G170" t="s">
        <v>230</v>
      </c>
      <c r="H170">
        <v>97</v>
      </c>
      <c r="I170">
        <f>SUMIF($D$2:D170, D170, $H$2:H170)</f>
        <v>103</v>
      </c>
      <c r="J170" t="s">
        <v>61</v>
      </c>
      <c r="K170">
        <v>5400</v>
      </c>
      <c r="L170">
        <f>ABS(Tabela4[[#This Row],[Quantidade]]*Tabela4[[#This Row],[Valor Unitario]])</f>
        <v>523800</v>
      </c>
      <c r="M170" t="s">
        <v>590</v>
      </c>
    </row>
    <row r="171" spans="1:13" hidden="1" x14ac:dyDescent="0.25">
      <c r="A171" s="17">
        <v>46067</v>
      </c>
      <c r="B171" t="s">
        <v>845</v>
      </c>
      <c r="C171">
        <v>101</v>
      </c>
      <c r="D171">
        <v>3002</v>
      </c>
      <c r="E171" t="s">
        <v>105</v>
      </c>
      <c r="F171" t="s">
        <v>229</v>
      </c>
      <c r="G171" t="s">
        <v>230</v>
      </c>
      <c r="H171">
        <v>95</v>
      </c>
      <c r="I171">
        <f>SUMIF($D$2:D171, D171, $H$2:H171)</f>
        <v>96</v>
      </c>
      <c r="J171" t="s">
        <v>61</v>
      </c>
      <c r="K171">
        <v>95</v>
      </c>
      <c r="L171">
        <f>ABS(Tabela4[[#This Row],[Quantidade]]*Tabela4[[#This Row],[Valor Unitario]])</f>
        <v>9025</v>
      </c>
      <c r="M171" t="s">
        <v>846</v>
      </c>
    </row>
    <row r="172" spans="1:13" hidden="1" x14ac:dyDescent="0.25">
      <c r="A172" s="17">
        <v>46067</v>
      </c>
      <c r="B172" t="s">
        <v>1069</v>
      </c>
      <c r="C172">
        <v>101</v>
      </c>
      <c r="D172">
        <v>5003</v>
      </c>
      <c r="E172" t="s">
        <v>121</v>
      </c>
      <c r="F172" t="s">
        <v>229</v>
      </c>
      <c r="G172" t="s">
        <v>230</v>
      </c>
      <c r="H172">
        <v>94</v>
      </c>
      <c r="I172">
        <f>SUMIF($D$2:D172, D172, $H$2:H172)</f>
        <v>143</v>
      </c>
      <c r="J172" t="s">
        <v>61</v>
      </c>
      <c r="K172">
        <v>8900</v>
      </c>
      <c r="L172">
        <f>ABS(Tabela4[[#This Row],[Quantidade]]*Tabela4[[#This Row],[Valor Unitario]])</f>
        <v>836600</v>
      </c>
      <c r="M172" t="s">
        <v>1070</v>
      </c>
    </row>
    <row r="173" spans="1:13" hidden="1" x14ac:dyDescent="0.25">
      <c r="A173" s="17">
        <v>46067</v>
      </c>
      <c r="B173" t="s">
        <v>1165</v>
      </c>
      <c r="C173">
        <v>101</v>
      </c>
      <c r="D173">
        <v>5006</v>
      </c>
      <c r="E173" t="s">
        <v>127</v>
      </c>
      <c r="F173" t="s">
        <v>229</v>
      </c>
      <c r="G173" t="s">
        <v>230</v>
      </c>
      <c r="H173">
        <v>63</v>
      </c>
      <c r="I173">
        <f>SUMIF($D$2:D173, D173, $H$2:H173)</f>
        <v>54</v>
      </c>
      <c r="J173" t="s">
        <v>103</v>
      </c>
      <c r="K173">
        <v>22</v>
      </c>
      <c r="L173">
        <f>ABS(Tabela4[[#This Row],[Quantidade]]*Tabela4[[#This Row],[Valor Unitario]])</f>
        <v>1386</v>
      </c>
      <c r="M173" t="s">
        <v>1166</v>
      </c>
    </row>
    <row r="174" spans="1:13" hidden="1" x14ac:dyDescent="0.25">
      <c r="A174" s="17">
        <v>46067</v>
      </c>
      <c r="B174" t="s">
        <v>1261</v>
      </c>
      <c r="C174">
        <v>101</v>
      </c>
      <c r="D174">
        <v>6002</v>
      </c>
      <c r="E174" t="s">
        <v>134</v>
      </c>
      <c r="F174" t="s">
        <v>229</v>
      </c>
      <c r="G174" t="s">
        <v>230</v>
      </c>
      <c r="H174">
        <v>57</v>
      </c>
      <c r="I174">
        <f>SUMIF($D$2:D174, D174, $H$2:H174)</f>
        <v>100</v>
      </c>
      <c r="J174" t="s">
        <v>61</v>
      </c>
      <c r="K174">
        <v>6900</v>
      </c>
      <c r="L174">
        <f>ABS(Tabela4[[#This Row],[Quantidade]]*Tabela4[[#This Row],[Valor Unitario]])</f>
        <v>393300</v>
      </c>
      <c r="M174" t="s">
        <v>1262</v>
      </c>
    </row>
    <row r="175" spans="1:13" hidden="1" x14ac:dyDescent="0.25">
      <c r="A175" s="17">
        <v>46068</v>
      </c>
      <c r="B175" t="s">
        <v>751</v>
      </c>
      <c r="C175">
        <v>261</v>
      </c>
      <c r="D175">
        <v>2360</v>
      </c>
      <c r="E175" t="s">
        <v>97</v>
      </c>
      <c r="F175" t="s">
        <v>229</v>
      </c>
      <c r="G175" t="s">
        <v>230</v>
      </c>
      <c r="H175">
        <v>-69</v>
      </c>
      <c r="I175">
        <f>SUMIF($D$2:D175, D175, $H$2:H175)</f>
        <v>42</v>
      </c>
      <c r="J175" t="s">
        <v>61</v>
      </c>
      <c r="K175">
        <v>2380</v>
      </c>
      <c r="L175">
        <f>ABS(Tabela4[[#This Row],[Quantidade]]*Tabela4[[#This Row],[Valor Unitario]])</f>
        <v>164220</v>
      </c>
      <c r="M175" t="s">
        <v>752</v>
      </c>
    </row>
    <row r="176" spans="1:13" hidden="1" x14ac:dyDescent="0.25">
      <c r="A176" s="17">
        <v>46068</v>
      </c>
      <c r="B176" t="s">
        <v>1359</v>
      </c>
      <c r="C176">
        <v>261</v>
      </c>
      <c r="D176">
        <v>7001</v>
      </c>
      <c r="E176" t="s">
        <v>140</v>
      </c>
      <c r="F176" t="s">
        <v>229</v>
      </c>
      <c r="G176" t="s">
        <v>230</v>
      </c>
      <c r="H176">
        <v>-25</v>
      </c>
      <c r="I176">
        <f>SUMIF($D$2:D176, D176, $H$2:H176)</f>
        <v>-45</v>
      </c>
      <c r="J176" t="s">
        <v>61</v>
      </c>
      <c r="K176">
        <v>210</v>
      </c>
      <c r="L176">
        <f>ABS(Tabela4[[#This Row],[Quantidade]]*Tabela4[[#This Row],[Valor Unitario]])</f>
        <v>5250</v>
      </c>
      <c r="M176" t="s">
        <v>1360</v>
      </c>
    </row>
    <row r="177" spans="1:13" hidden="1" x14ac:dyDescent="0.25">
      <c r="A177" s="17">
        <v>46069</v>
      </c>
      <c r="B177" t="s">
        <v>1263</v>
      </c>
      <c r="C177">
        <v>261</v>
      </c>
      <c r="D177">
        <v>6002</v>
      </c>
      <c r="E177" t="s">
        <v>134</v>
      </c>
      <c r="F177" t="s">
        <v>229</v>
      </c>
      <c r="G177" t="s">
        <v>230</v>
      </c>
      <c r="H177">
        <v>-45</v>
      </c>
      <c r="I177">
        <f>SUMIF($D$2:D177, D177, $H$2:H177)</f>
        <v>55</v>
      </c>
      <c r="J177" t="s">
        <v>61</v>
      </c>
      <c r="K177">
        <v>6900</v>
      </c>
      <c r="L177">
        <f>ABS(Tabela4[[#This Row],[Quantidade]]*Tabela4[[#This Row],[Valor Unitario]])</f>
        <v>310500</v>
      </c>
      <c r="M177" t="s">
        <v>1264</v>
      </c>
    </row>
    <row r="178" spans="1:13" hidden="1" x14ac:dyDescent="0.25">
      <c r="A178" s="17">
        <v>46070</v>
      </c>
      <c r="B178" t="s">
        <v>559</v>
      </c>
      <c r="C178">
        <v>261</v>
      </c>
      <c r="D178">
        <v>2011</v>
      </c>
      <c r="E178" t="s">
        <v>84</v>
      </c>
      <c r="F178" t="s">
        <v>229</v>
      </c>
      <c r="G178" t="s">
        <v>230</v>
      </c>
      <c r="H178">
        <v>-80</v>
      </c>
      <c r="I178">
        <f>SUMIF($D$2:D178, D178, $H$2:H178)</f>
        <v>-15</v>
      </c>
      <c r="J178" t="s">
        <v>61</v>
      </c>
      <c r="K178">
        <v>9800</v>
      </c>
      <c r="L178">
        <f>ABS(Tabela4[[#This Row],[Quantidade]]*Tabela4[[#This Row],[Valor Unitario]])</f>
        <v>784000</v>
      </c>
      <c r="M178" t="s">
        <v>560</v>
      </c>
    </row>
    <row r="179" spans="1:13" x14ac:dyDescent="0.25">
      <c r="A179" s="17">
        <v>46070</v>
      </c>
      <c r="B179" t="s">
        <v>719</v>
      </c>
      <c r="C179">
        <v>261</v>
      </c>
      <c r="D179">
        <v>2359</v>
      </c>
      <c r="E179" t="s">
        <v>95</v>
      </c>
      <c r="F179" t="s">
        <v>229</v>
      </c>
      <c r="G179" t="s">
        <v>230</v>
      </c>
      <c r="H179">
        <v>-19</v>
      </c>
      <c r="I179">
        <f>SUMIF($D$2:D179, D179, $H$2:H179)</f>
        <v>13</v>
      </c>
      <c r="J179" t="s">
        <v>61</v>
      </c>
      <c r="K179">
        <v>1240</v>
      </c>
      <c r="L179">
        <f>ABS(Tabela4[[#This Row],[Quantidade]]*Tabela4[[#This Row],[Valor Unitario]])</f>
        <v>23560</v>
      </c>
      <c r="M179" t="s">
        <v>720</v>
      </c>
    </row>
    <row r="180" spans="1:13" hidden="1" x14ac:dyDescent="0.25">
      <c r="A180" s="17">
        <v>46070</v>
      </c>
      <c r="B180" t="s">
        <v>911</v>
      </c>
      <c r="C180">
        <v>261</v>
      </c>
      <c r="D180">
        <v>3004</v>
      </c>
      <c r="E180" t="s">
        <v>109</v>
      </c>
      <c r="F180" t="s">
        <v>229</v>
      </c>
      <c r="G180" t="s">
        <v>230</v>
      </c>
      <c r="H180">
        <v>-39</v>
      </c>
      <c r="I180">
        <f>SUMIF($D$2:D180, D180, $H$2:H180)</f>
        <v>14</v>
      </c>
      <c r="J180" t="s">
        <v>61</v>
      </c>
      <c r="K180">
        <v>2180</v>
      </c>
      <c r="L180">
        <f>ABS(Tabela4[[#This Row],[Quantidade]]*Tabela4[[#This Row],[Valor Unitario]])</f>
        <v>85020</v>
      </c>
      <c r="M180" t="s">
        <v>912</v>
      </c>
    </row>
    <row r="181" spans="1:13" hidden="1" x14ac:dyDescent="0.25">
      <c r="A181" s="17">
        <v>46070</v>
      </c>
      <c r="B181" t="s">
        <v>1327</v>
      </c>
      <c r="C181">
        <v>261</v>
      </c>
      <c r="D181">
        <v>6004</v>
      </c>
      <c r="E181" t="s">
        <v>138</v>
      </c>
      <c r="F181" t="s">
        <v>229</v>
      </c>
      <c r="G181" t="s">
        <v>230</v>
      </c>
      <c r="H181">
        <v>-1</v>
      </c>
      <c r="I181">
        <f>SUMIF($D$2:D181, D181, $H$2:H181)</f>
        <v>139</v>
      </c>
      <c r="J181" t="s">
        <v>61</v>
      </c>
      <c r="K181">
        <v>2650</v>
      </c>
      <c r="L181">
        <f>ABS(Tabela4[[#This Row],[Quantidade]]*Tabela4[[#This Row],[Valor Unitario]])</f>
        <v>2650</v>
      </c>
      <c r="M181" t="s">
        <v>1328</v>
      </c>
    </row>
    <row r="182" spans="1:13" hidden="1" x14ac:dyDescent="0.25">
      <c r="A182" s="17">
        <v>46071</v>
      </c>
      <c r="B182" t="s">
        <v>404</v>
      </c>
      <c r="C182">
        <v>261</v>
      </c>
      <c r="D182">
        <v>2006</v>
      </c>
      <c r="E182" t="s">
        <v>74</v>
      </c>
      <c r="F182" t="s">
        <v>229</v>
      </c>
      <c r="G182" t="s">
        <v>230</v>
      </c>
      <c r="H182">
        <v>-13</v>
      </c>
      <c r="I182">
        <f>SUMIF($D$2:D182, D182, $H$2:H182)</f>
        <v>24</v>
      </c>
      <c r="J182" t="s">
        <v>61</v>
      </c>
      <c r="K182">
        <v>2870</v>
      </c>
      <c r="L182">
        <f>ABS(Tabela4[[#This Row],[Quantidade]]*Tabela4[[#This Row],[Valor Unitario]])</f>
        <v>37310</v>
      </c>
      <c r="M182" t="s">
        <v>314</v>
      </c>
    </row>
    <row r="183" spans="1:13" hidden="1" x14ac:dyDescent="0.25">
      <c r="A183" s="17">
        <v>46071</v>
      </c>
      <c r="B183" t="s">
        <v>495</v>
      </c>
      <c r="C183">
        <v>261</v>
      </c>
      <c r="D183">
        <v>2009</v>
      </c>
      <c r="E183" t="s">
        <v>80</v>
      </c>
      <c r="F183" t="s">
        <v>229</v>
      </c>
      <c r="G183" t="s">
        <v>230</v>
      </c>
      <c r="H183">
        <v>-59</v>
      </c>
      <c r="I183">
        <f>SUMIF($D$2:D183, D183, $H$2:H183)</f>
        <v>-5</v>
      </c>
      <c r="J183" t="s">
        <v>61</v>
      </c>
      <c r="K183">
        <v>1650</v>
      </c>
      <c r="L183">
        <f>ABS(Tabela4[[#This Row],[Quantidade]]*Tabela4[[#This Row],[Valor Unitario]])</f>
        <v>97350</v>
      </c>
      <c r="M183" t="s">
        <v>496</v>
      </c>
    </row>
    <row r="184" spans="1:13" hidden="1" x14ac:dyDescent="0.25">
      <c r="A184" s="17">
        <v>46071</v>
      </c>
      <c r="B184" t="s">
        <v>655</v>
      </c>
      <c r="C184">
        <v>261</v>
      </c>
      <c r="D184">
        <v>2357</v>
      </c>
      <c r="E184" t="s">
        <v>91</v>
      </c>
      <c r="F184" t="s">
        <v>229</v>
      </c>
      <c r="G184" t="s">
        <v>230</v>
      </c>
      <c r="H184">
        <v>-35</v>
      </c>
      <c r="I184">
        <f>SUMIF($D$2:D184, D184, $H$2:H184)</f>
        <v>28</v>
      </c>
      <c r="J184" t="s">
        <v>61</v>
      </c>
      <c r="K184">
        <v>210</v>
      </c>
      <c r="L184">
        <f>ABS(Tabela4[[#This Row],[Quantidade]]*Tabela4[[#This Row],[Valor Unitario]])</f>
        <v>7350</v>
      </c>
      <c r="M184" t="s">
        <v>656</v>
      </c>
    </row>
    <row r="185" spans="1:13" hidden="1" x14ac:dyDescent="0.25">
      <c r="A185" s="17">
        <v>46071</v>
      </c>
      <c r="B185" t="s">
        <v>687</v>
      </c>
      <c r="C185">
        <v>261</v>
      </c>
      <c r="D185">
        <v>2358</v>
      </c>
      <c r="E185" t="s">
        <v>93</v>
      </c>
      <c r="F185" t="s">
        <v>229</v>
      </c>
      <c r="G185" t="s">
        <v>230</v>
      </c>
      <c r="H185">
        <v>-16</v>
      </c>
      <c r="I185">
        <f>SUMIF($D$2:D185, D185, $H$2:H185)</f>
        <v>21</v>
      </c>
      <c r="J185" t="s">
        <v>61</v>
      </c>
      <c r="K185">
        <v>890</v>
      </c>
      <c r="L185">
        <f>ABS(Tabela4[[#This Row],[Quantidade]]*Tabela4[[#This Row],[Valor Unitario]])</f>
        <v>14240</v>
      </c>
      <c r="M185" t="s">
        <v>688</v>
      </c>
    </row>
    <row r="186" spans="1:13" hidden="1" x14ac:dyDescent="0.25">
      <c r="A186" s="17">
        <v>46071</v>
      </c>
      <c r="B186" t="s">
        <v>847</v>
      </c>
      <c r="C186">
        <v>261</v>
      </c>
      <c r="D186">
        <v>3002</v>
      </c>
      <c r="E186" t="s">
        <v>105</v>
      </c>
      <c r="F186" t="s">
        <v>229</v>
      </c>
      <c r="G186" t="s">
        <v>230</v>
      </c>
      <c r="H186">
        <v>-83</v>
      </c>
      <c r="I186">
        <f>SUMIF($D$2:D186, D186, $H$2:H186)</f>
        <v>13</v>
      </c>
      <c r="J186" t="s">
        <v>61</v>
      </c>
      <c r="K186">
        <v>95</v>
      </c>
      <c r="L186">
        <f>ABS(Tabela4[[#This Row],[Quantidade]]*Tabela4[[#This Row],[Valor Unitario]])</f>
        <v>7885</v>
      </c>
      <c r="M186" t="s">
        <v>848</v>
      </c>
    </row>
    <row r="187" spans="1:13" hidden="1" x14ac:dyDescent="0.25">
      <c r="A187" s="17">
        <v>46071</v>
      </c>
      <c r="B187" t="s">
        <v>1551</v>
      </c>
      <c r="C187">
        <v>261</v>
      </c>
      <c r="D187">
        <v>9002</v>
      </c>
      <c r="E187" t="s">
        <v>157</v>
      </c>
      <c r="F187" t="s">
        <v>229</v>
      </c>
      <c r="G187" t="s">
        <v>230</v>
      </c>
      <c r="H187">
        <v>-1</v>
      </c>
      <c r="I187">
        <f>SUMIF($D$2:D187, D187, $H$2:H187)</f>
        <v>48</v>
      </c>
      <c r="J187" t="s">
        <v>61</v>
      </c>
      <c r="K187">
        <v>6.5</v>
      </c>
      <c r="L187">
        <f>ABS(Tabela4[[#This Row],[Quantidade]]*Tabela4[[#This Row],[Valor Unitario]])</f>
        <v>6.5</v>
      </c>
      <c r="M187" t="s">
        <v>1552</v>
      </c>
    </row>
    <row r="188" spans="1:13" hidden="1" x14ac:dyDescent="0.25">
      <c r="A188" s="17">
        <v>46072</v>
      </c>
      <c r="B188" t="s">
        <v>463</v>
      </c>
      <c r="C188">
        <v>261</v>
      </c>
      <c r="D188">
        <v>2008</v>
      </c>
      <c r="E188" t="s">
        <v>78</v>
      </c>
      <c r="F188" t="s">
        <v>229</v>
      </c>
      <c r="G188" t="s">
        <v>230</v>
      </c>
      <c r="H188">
        <v>-19</v>
      </c>
      <c r="I188">
        <f>SUMIF($D$2:D188, D188, $H$2:H188)</f>
        <v>30</v>
      </c>
      <c r="J188" t="s">
        <v>61</v>
      </c>
      <c r="K188">
        <v>24500</v>
      </c>
      <c r="L188">
        <f>ABS(Tabela4[[#This Row],[Quantidade]]*Tabela4[[#This Row],[Valor Unitario]])</f>
        <v>465500</v>
      </c>
      <c r="M188" t="s">
        <v>464</v>
      </c>
    </row>
    <row r="189" spans="1:13" hidden="1" x14ac:dyDescent="0.25">
      <c r="A189" s="17">
        <v>46072</v>
      </c>
      <c r="B189" t="s">
        <v>527</v>
      </c>
      <c r="C189">
        <v>261</v>
      </c>
      <c r="D189">
        <v>2010</v>
      </c>
      <c r="E189" t="s">
        <v>82</v>
      </c>
      <c r="F189" t="s">
        <v>229</v>
      </c>
      <c r="G189" t="s">
        <v>230</v>
      </c>
      <c r="H189">
        <v>-37</v>
      </c>
      <c r="I189">
        <f>SUMIF($D$2:D189, D189, $H$2:H189)</f>
        <v>-42</v>
      </c>
      <c r="J189" t="s">
        <v>61</v>
      </c>
      <c r="K189">
        <v>2150</v>
      </c>
      <c r="L189">
        <f>ABS(Tabela4[[#This Row],[Quantidade]]*Tabela4[[#This Row],[Valor Unitario]])</f>
        <v>79550</v>
      </c>
      <c r="M189" t="s">
        <v>528</v>
      </c>
    </row>
    <row r="190" spans="1:13" hidden="1" x14ac:dyDescent="0.25">
      <c r="A190" s="17">
        <v>46072</v>
      </c>
      <c r="B190" t="s">
        <v>943</v>
      </c>
      <c r="C190">
        <v>261</v>
      </c>
      <c r="D190">
        <v>4001</v>
      </c>
      <c r="E190" t="s">
        <v>111</v>
      </c>
      <c r="F190" t="s">
        <v>229</v>
      </c>
      <c r="G190" t="s">
        <v>230</v>
      </c>
      <c r="H190">
        <v>-80</v>
      </c>
      <c r="I190">
        <f>SUMIF($D$2:D190, D190, $H$2:H190)</f>
        <v>-7</v>
      </c>
      <c r="J190" t="s">
        <v>61</v>
      </c>
      <c r="K190">
        <v>3200</v>
      </c>
      <c r="L190">
        <f>ABS(Tabela4[[#This Row],[Quantidade]]*Tabela4[[#This Row],[Valor Unitario]])</f>
        <v>256000</v>
      </c>
      <c r="M190" t="s">
        <v>944</v>
      </c>
    </row>
    <row r="191" spans="1:13" hidden="1" x14ac:dyDescent="0.25">
      <c r="A191" s="17">
        <v>46072</v>
      </c>
      <c r="B191" t="s">
        <v>1295</v>
      </c>
      <c r="C191">
        <v>261</v>
      </c>
      <c r="D191">
        <v>6003</v>
      </c>
      <c r="E191" t="s">
        <v>136</v>
      </c>
      <c r="F191" t="s">
        <v>229</v>
      </c>
      <c r="G191" t="s">
        <v>230</v>
      </c>
      <c r="H191">
        <v>-12</v>
      </c>
      <c r="I191">
        <f>SUMIF($D$2:D191, D191, $H$2:H191)</f>
        <v>-5</v>
      </c>
      <c r="J191" t="s">
        <v>103</v>
      </c>
      <c r="K191">
        <v>85</v>
      </c>
      <c r="L191">
        <f>ABS(Tabela4[[#This Row],[Quantidade]]*Tabela4[[#This Row],[Valor Unitario]])</f>
        <v>1020</v>
      </c>
      <c r="M191" t="s">
        <v>1296</v>
      </c>
    </row>
    <row r="192" spans="1:13" hidden="1" x14ac:dyDescent="0.25">
      <c r="A192" s="17">
        <v>46072</v>
      </c>
      <c r="B192" t="s">
        <v>1423</v>
      </c>
      <c r="C192">
        <v>261</v>
      </c>
      <c r="D192">
        <v>7003</v>
      </c>
      <c r="E192" t="s">
        <v>145</v>
      </c>
      <c r="F192" t="s">
        <v>229</v>
      </c>
      <c r="G192" t="s">
        <v>230</v>
      </c>
      <c r="H192">
        <v>-20</v>
      </c>
      <c r="I192">
        <f>SUMIF($D$2:D192, D192, $H$2:H192)</f>
        <v>17</v>
      </c>
      <c r="J192" t="s">
        <v>61</v>
      </c>
      <c r="K192">
        <v>130</v>
      </c>
      <c r="L192">
        <f>ABS(Tabela4[[#This Row],[Quantidade]]*Tabela4[[#This Row],[Valor Unitario]])</f>
        <v>2600</v>
      </c>
      <c r="M192" t="s">
        <v>1424</v>
      </c>
    </row>
    <row r="193" spans="1:13" hidden="1" x14ac:dyDescent="0.25">
      <c r="A193" s="17">
        <v>46073</v>
      </c>
      <c r="B193" t="s">
        <v>623</v>
      </c>
      <c r="C193">
        <v>261</v>
      </c>
      <c r="D193">
        <v>2356</v>
      </c>
      <c r="E193" t="s">
        <v>88</v>
      </c>
      <c r="F193" t="s">
        <v>229</v>
      </c>
      <c r="G193" t="s">
        <v>230</v>
      </c>
      <c r="H193">
        <v>-58</v>
      </c>
      <c r="I193">
        <f>SUMIF($D$2:D193, D193, $H$2:H193)</f>
        <v>52</v>
      </c>
      <c r="J193" t="s">
        <v>61</v>
      </c>
      <c r="K193">
        <v>145</v>
      </c>
      <c r="L193">
        <f>ABS(Tabela4[[#This Row],[Quantidade]]*Tabela4[[#This Row],[Valor Unitario]])</f>
        <v>8410</v>
      </c>
      <c r="M193" t="s">
        <v>624</v>
      </c>
    </row>
    <row r="194" spans="1:13" hidden="1" x14ac:dyDescent="0.25">
      <c r="A194" s="17">
        <v>46073</v>
      </c>
      <c r="B194" t="s">
        <v>1007</v>
      </c>
      <c r="C194">
        <v>261</v>
      </c>
      <c r="D194">
        <v>5001</v>
      </c>
      <c r="E194" t="s">
        <v>116</v>
      </c>
      <c r="F194" t="s">
        <v>229</v>
      </c>
      <c r="G194" t="s">
        <v>230</v>
      </c>
      <c r="H194">
        <v>-65</v>
      </c>
      <c r="I194">
        <f>SUMIF($D$2:D194, D194, $H$2:H194)</f>
        <v>19</v>
      </c>
      <c r="J194" t="s">
        <v>61</v>
      </c>
      <c r="K194">
        <v>32500</v>
      </c>
      <c r="L194">
        <f>ABS(Tabela4[[#This Row],[Quantidade]]*Tabela4[[#This Row],[Valor Unitario]])</f>
        <v>2112500</v>
      </c>
      <c r="M194" t="s">
        <v>1008</v>
      </c>
    </row>
    <row r="195" spans="1:13" hidden="1" x14ac:dyDescent="0.25">
      <c r="A195" s="17">
        <v>46073</v>
      </c>
      <c r="B195" t="s">
        <v>1455</v>
      </c>
      <c r="C195">
        <v>261</v>
      </c>
      <c r="D195">
        <v>8001</v>
      </c>
      <c r="E195" t="s">
        <v>147</v>
      </c>
      <c r="F195" t="s">
        <v>229</v>
      </c>
      <c r="G195" t="s">
        <v>230</v>
      </c>
      <c r="H195">
        <v>-51</v>
      </c>
      <c r="I195">
        <f>SUMIF($D$2:D195, D195, $H$2:H195)</f>
        <v>-97</v>
      </c>
      <c r="J195" t="s">
        <v>149</v>
      </c>
      <c r="K195">
        <v>28</v>
      </c>
      <c r="L195">
        <f>ABS(Tabela4[[#This Row],[Quantidade]]*Tabela4[[#This Row],[Valor Unitario]])</f>
        <v>1428</v>
      </c>
      <c r="M195" t="s">
        <v>1456</v>
      </c>
    </row>
    <row r="196" spans="1:13" hidden="1" x14ac:dyDescent="0.25">
      <c r="A196" s="17">
        <v>46074</v>
      </c>
      <c r="B196" t="s">
        <v>1391</v>
      </c>
      <c r="C196">
        <v>261</v>
      </c>
      <c r="D196">
        <v>7002</v>
      </c>
      <c r="E196" t="s">
        <v>143</v>
      </c>
      <c r="F196" t="s">
        <v>229</v>
      </c>
      <c r="G196" t="s">
        <v>230</v>
      </c>
      <c r="H196">
        <v>-33</v>
      </c>
      <c r="I196">
        <f>SUMIF($D$2:D196, D196, $H$2:H196)</f>
        <v>-34</v>
      </c>
      <c r="J196" t="s">
        <v>61</v>
      </c>
      <c r="K196">
        <v>95</v>
      </c>
      <c r="L196">
        <f>ABS(Tabela4[[#This Row],[Quantidade]]*Tabela4[[#This Row],[Valor Unitario]])</f>
        <v>3135</v>
      </c>
      <c r="M196" t="s">
        <v>1392</v>
      </c>
    </row>
    <row r="197" spans="1:13" hidden="1" x14ac:dyDescent="0.25">
      <c r="A197" s="17">
        <v>46074</v>
      </c>
      <c r="B197" t="s">
        <v>1615</v>
      </c>
      <c r="C197">
        <v>261</v>
      </c>
      <c r="D197">
        <v>9004</v>
      </c>
      <c r="E197" t="s">
        <v>161</v>
      </c>
      <c r="F197" t="s">
        <v>229</v>
      </c>
      <c r="G197" t="s">
        <v>230</v>
      </c>
      <c r="H197">
        <v>-12</v>
      </c>
      <c r="I197">
        <f>SUMIF($D$2:D197, D197, $H$2:H197)</f>
        <v>93</v>
      </c>
      <c r="J197" t="s">
        <v>61</v>
      </c>
      <c r="K197">
        <v>45</v>
      </c>
      <c r="L197">
        <f>ABS(Tabela4[[#This Row],[Quantidade]]*Tabela4[[#This Row],[Valor Unitario]])</f>
        <v>540</v>
      </c>
      <c r="M197" t="s">
        <v>1616</v>
      </c>
    </row>
    <row r="198" spans="1:13" hidden="1" x14ac:dyDescent="0.25">
      <c r="A198" s="17">
        <v>46075</v>
      </c>
      <c r="B198" t="s">
        <v>431</v>
      </c>
      <c r="C198">
        <v>261</v>
      </c>
      <c r="D198">
        <v>2007</v>
      </c>
      <c r="E198" t="s">
        <v>76</v>
      </c>
      <c r="F198" t="s">
        <v>229</v>
      </c>
      <c r="G198" t="s">
        <v>230</v>
      </c>
      <c r="H198">
        <v>-27</v>
      </c>
      <c r="I198">
        <f>SUMIF($D$2:D198, D198, $H$2:H198)</f>
        <v>117</v>
      </c>
      <c r="J198" t="s">
        <v>61</v>
      </c>
      <c r="K198">
        <v>1980</v>
      </c>
      <c r="L198">
        <f>ABS(Tabela4[[#This Row],[Quantidade]]*Tabela4[[#This Row],[Valor Unitario]])</f>
        <v>53460</v>
      </c>
      <c r="M198" t="s">
        <v>432</v>
      </c>
    </row>
    <row r="199" spans="1:13" hidden="1" x14ac:dyDescent="0.25">
      <c r="A199" s="17">
        <v>46075</v>
      </c>
      <c r="B199" t="s">
        <v>815</v>
      </c>
      <c r="C199">
        <v>261</v>
      </c>
      <c r="D199">
        <v>3001</v>
      </c>
      <c r="E199" t="s">
        <v>101</v>
      </c>
      <c r="F199" t="s">
        <v>229</v>
      </c>
      <c r="G199" t="s">
        <v>230</v>
      </c>
      <c r="H199">
        <v>-23</v>
      </c>
      <c r="I199">
        <f>SUMIF($D$2:D199, D199, $H$2:H199)</f>
        <v>86</v>
      </c>
      <c r="J199" t="s">
        <v>103</v>
      </c>
      <c r="K199">
        <v>320</v>
      </c>
      <c r="L199">
        <f>ABS(Tabela4[[#This Row],[Quantidade]]*Tabela4[[#This Row],[Valor Unitario]])</f>
        <v>7360</v>
      </c>
      <c r="M199" t="s">
        <v>816</v>
      </c>
    </row>
    <row r="200" spans="1:13" hidden="1" x14ac:dyDescent="0.25">
      <c r="A200" s="17">
        <v>46075</v>
      </c>
      <c r="B200" t="s">
        <v>975</v>
      </c>
      <c r="C200">
        <v>261</v>
      </c>
      <c r="D200">
        <v>4002</v>
      </c>
      <c r="E200" t="s">
        <v>114</v>
      </c>
      <c r="F200" t="s">
        <v>229</v>
      </c>
      <c r="G200" t="s">
        <v>230</v>
      </c>
      <c r="H200">
        <v>-58</v>
      </c>
      <c r="I200">
        <f>SUMIF($D$2:D200, D200, $H$2:H200)</f>
        <v>-32</v>
      </c>
      <c r="J200" t="s">
        <v>61</v>
      </c>
      <c r="K200">
        <v>4100</v>
      </c>
      <c r="L200">
        <f>ABS(Tabela4[[#This Row],[Quantidade]]*Tabela4[[#This Row],[Valor Unitario]])</f>
        <v>237800</v>
      </c>
      <c r="M200" t="s">
        <v>976</v>
      </c>
    </row>
    <row r="201" spans="1:13" hidden="1" x14ac:dyDescent="0.25">
      <c r="A201" s="17">
        <v>46075</v>
      </c>
      <c r="B201" t="s">
        <v>1583</v>
      </c>
      <c r="C201">
        <v>261</v>
      </c>
      <c r="D201">
        <v>9003</v>
      </c>
      <c r="E201" t="s">
        <v>159</v>
      </c>
      <c r="F201" t="s">
        <v>229</v>
      </c>
      <c r="G201" t="s">
        <v>230</v>
      </c>
      <c r="H201">
        <v>-46</v>
      </c>
      <c r="I201">
        <f>SUMIF($D$2:D201, D201, $H$2:H201)</f>
        <v>5</v>
      </c>
      <c r="J201" t="s">
        <v>61</v>
      </c>
      <c r="K201">
        <v>2.2000000000000002</v>
      </c>
      <c r="L201">
        <f>ABS(Tabela4[[#This Row],[Quantidade]]*Tabela4[[#This Row],[Valor Unitario]])</f>
        <v>101.2</v>
      </c>
      <c r="M201" t="s">
        <v>1584</v>
      </c>
    </row>
    <row r="202" spans="1:13" hidden="1" x14ac:dyDescent="0.25">
      <c r="A202" s="17">
        <v>46076</v>
      </c>
      <c r="B202" t="s">
        <v>1199</v>
      </c>
      <c r="C202">
        <v>261</v>
      </c>
      <c r="D202">
        <v>5007</v>
      </c>
      <c r="E202" t="s">
        <v>129</v>
      </c>
      <c r="F202" t="s">
        <v>229</v>
      </c>
      <c r="G202" t="s">
        <v>230</v>
      </c>
      <c r="H202">
        <v>-28</v>
      </c>
      <c r="I202">
        <f>SUMIF($D$2:D202, D202, $H$2:H202)</f>
        <v>-94</v>
      </c>
      <c r="J202" t="s">
        <v>61</v>
      </c>
      <c r="K202">
        <v>340</v>
      </c>
      <c r="L202">
        <f>ABS(Tabela4[[#This Row],[Quantidade]]*Tabela4[[#This Row],[Valor Unitario]])</f>
        <v>9520</v>
      </c>
      <c r="M202" t="s">
        <v>1200</v>
      </c>
    </row>
    <row r="203" spans="1:13" hidden="1" x14ac:dyDescent="0.25">
      <c r="A203" s="17">
        <v>46076</v>
      </c>
      <c r="B203" t="s">
        <v>1519</v>
      </c>
      <c r="C203">
        <v>261</v>
      </c>
      <c r="D203">
        <v>9001</v>
      </c>
      <c r="E203" t="s">
        <v>154</v>
      </c>
      <c r="F203" t="s">
        <v>229</v>
      </c>
      <c r="G203" t="s">
        <v>230</v>
      </c>
      <c r="H203">
        <v>-49</v>
      </c>
      <c r="I203">
        <f>SUMIF($D$2:D203, D203, $H$2:H203)</f>
        <v>49</v>
      </c>
      <c r="J203" t="s">
        <v>61</v>
      </c>
      <c r="K203">
        <v>18</v>
      </c>
      <c r="L203">
        <f>ABS(Tabela4[[#This Row],[Quantidade]]*Tabela4[[#This Row],[Valor Unitario]])</f>
        <v>882</v>
      </c>
      <c r="M203" t="s">
        <v>1520</v>
      </c>
    </row>
    <row r="204" spans="1:13" hidden="1" x14ac:dyDescent="0.25">
      <c r="A204" s="17">
        <v>46077</v>
      </c>
      <c r="B204" t="s">
        <v>1039</v>
      </c>
      <c r="C204">
        <v>261</v>
      </c>
      <c r="D204">
        <v>5002</v>
      </c>
      <c r="E204" t="s">
        <v>119</v>
      </c>
      <c r="F204" t="s">
        <v>229</v>
      </c>
      <c r="G204" t="s">
        <v>230</v>
      </c>
      <c r="H204">
        <v>-13</v>
      </c>
      <c r="I204">
        <f>SUMIF($D$2:D204, D204, $H$2:H204)</f>
        <v>46</v>
      </c>
      <c r="J204" t="s">
        <v>61</v>
      </c>
      <c r="K204">
        <v>17800</v>
      </c>
      <c r="L204">
        <f>ABS(Tabela4[[#This Row],[Quantidade]]*Tabela4[[#This Row],[Valor Unitario]])</f>
        <v>231400</v>
      </c>
      <c r="M204" t="s">
        <v>1040</v>
      </c>
    </row>
    <row r="205" spans="1:13" hidden="1" x14ac:dyDescent="0.25">
      <c r="A205" s="17">
        <v>46077</v>
      </c>
      <c r="B205" t="s">
        <v>1487</v>
      </c>
      <c r="C205">
        <v>261</v>
      </c>
      <c r="D205">
        <v>8002</v>
      </c>
      <c r="E205" t="s">
        <v>151</v>
      </c>
      <c r="F205" t="s">
        <v>229</v>
      </c>
      <c r="G205" t="s">
        <v>230</v>
      </c>
      <c r="H205">
        <v>-75</v>
      </c>
      <c r="I205">
        <f>SUMIF($D$2:D205, D205, $H$2:H205)</f>
        <v>-11</v>
      </c>
      <c r="J205" t="s">
        <v>152</v>
      </c>
      <c r="K205">
        <v>32</v>
      </c>
      <c r="L205">
        <f>ABS(Tabela4[[#This Row],[Quantidade]]*Tabela4[[#This Row],[Valor Unitario]])</f>
        <v>2400</v>
      </c>
      <c r="M205" t="s">
        <v>1488</v>
      </c>
    </row>
    <row r="206" spans="1:13" hidden="1" x14ac:dyDescent="0.25">
      <c r="A206" s="17">
        <v>46078</v>
      </c>
      <c r="B206" t="s">
        <v>388</v>
      </c>
      <c r="C206">
        <v>261</v>
      </c>
      <c r="D206">
        <v>2005</v>
      </c>
      <c r="E206" t="s">
        <v>71</v>
      </c>
      <c r="F206" t="s">
        <v>229</v>
      </c>
      <c r="G206" t="s">
        <v>230</v>
      </c>
      <c r="H206">
        <v>-35</v>
      </c>
      <c r="I206">
        <f>SUMIF($D$2:D206, D206, $H$2:H206)</f>
        <v>-25</v>
      </c>
      <c r="J206" t="s">
        <v>61</v>
      </c>
      <c r="K206">
        <v>3450</v>
      </c>
      <c r="L206">
        <f>ABS(Tabela4[[#This Row],[Quantidade]]*Tabela4[[#This Row],[Valor Unitario]])</f>
        <v>120750</v>
      </c>
      <c r="M206" t="s">
        <v>298</v>
      </c>
    </row>
    <row r="207" spans="1:13" hidden="1" x14ac:dyDescent="0.25">
      <c r="A207" s="17">
        <v>46078</v>
      </c>
      <c r="B207" t="s">
        <v>1071</v>
      </c>
      <c r="C207">
        <v>261</v>
      </c>
      <c r="D207">
        <v>5003</v>
      </c>
      <c r="E207" t="s">
        <v>121</v>
      </c>
      <c r="F207" t="s">
        <v>229</v>
      </c>
      <c r="G207" t="s">
        <v>230</v>
      </c>
      <c r="H207">
        <v>-57</v>
      </c>
      <c r="I207">
        <f>SUMIF($D$2:D207, D207, $H$2:H207)</f>
        <v>86</v>
      </c>
      <c r="J207" t="s">
        <v>61</v>
      </c>
      <c r="K207">
        <v>8900</v>
      </c>
      <c r="L207">
        <f>ABS(Tabela4[[#This Row],[Quantidade]]*Tabela4[[#This Row],[Valor Unitario]])</f>
        <v>507300</v>
      </c>
      <c r="M207" t="s">
        <v>1072</v>
      </c>
    </row>
    <row r="208" spans="1:13" hidden="1" x14ac:dyDescent="0.25">
      <c r="A208" s="17">
        <v>46078</v>
      </c>
      <c r="B208" t="s">
        <v>1647</v>
      </c>
      <c r="C208">
        <v>261</v>
      </c>
      <c r="D208">
        <v>9005</v>
      </c>
      <c r="E208" t="s">
        <v>163</v>
      </c>
      <c r="F208" t="s">
        <v>229</v>
      </c>
      <c r="G208" t="s">
        <v>230</v>
      </c>
      <c r="H208">
        <v>-4</v>
      </c>
      <c r="I208">
        <f>SUMIF($D$2:D208, D208, $H$2:H208)</f>
        <v>20</v>
      </c>
      <c r="J208" t="s">
        <v>61</v>
      </c>
      <c r="K208">
        <v>8.9</v>
      </c>
      <c r="L208">
        <f>ABS(Tabela4[[#This Row],[Quantidade]]*Tabela4[[#This Row],[Valor Unitario]])</f>
        <v>35.6</v>
      </c>
      <c r="M208" t="s">
        <v>1648</v>
      </c>
    </row>
    <row r="209" spans="1:13" hidden="1" x14ac:dyDescent="0.25">
      <c r="A209" s="17">
        <v>46079</v>
      </c>
      <c r="B209" t="s">
        <v>591</v>
      </c>
      <c r="C209">
        <v>261</v>
      </c>
      <c r="D209">
        <v>2012</v>
      </c>
      <c r="E209" t="s">
        <v>86</v>
      </c>
      <c r="F209" t="s">
        <v>229</v>
      </c>
      <c r="G209" t="s">
        <v>230</v>
      </c>
      <c r="H209">
        <v>-64</v>
      </c>
      <c r="I209">
        <f>SUMIF($D$2:D209, D209, $H$2:H209)</f>
        <v>39</v>
      </c>
      <c r="J209" t="s">
        <v>61</v>
      </c>
      <c r="K209">
        <v>5400</v>
      </c>
      <c r="L209">
        <f>ABS(Tabela4[[#This Row],[Quantidade]]*Tabela4[[#This Row],[Valor Unitario]])</f>
        <v>345600</v>
      </c>
      <c r="M209" t="s">
        <v>592</v>
      </c>
    </row>
    <row r="210" spans="1:13" hidden="1" x14ac:dyDescent="0.25">
      <c r="A210" s="17">
        <v>46080</v>
      </c>
      <c r="B210" t="s">
        <v>372</v>
      </c>
      <c r="C210">
        <v>261</v>
      </c>
      <c r="D210">
        <v>2004</v>
      </c>
      <c r="E210" t="s">
        <v>69</v>
      </c>
      <c r="F210" t="s">
        <v>229</v>
      </c>
      <c r="G210" t="s">
        <v>230</v>
      </c>
      <c r="H210">
        <v>-65</v>
      </c>
      <c r="I210">
        <f>SUMIF($D$2:D210, D210, $H$2:H210)</f>
        <v>-2</v>
      </c>
      <c r="J210" t="s">
        <v>61</v>
      </c>
      <c r="K210">
        <v>11800</v>
      </c>
      <c r="L210">
        <f>ABS(Tabela4[[#This Row],[Quantidade]]*Tabela4[[#This Row],[Valor Unitario]])</f>
        <v>767000</v>
      </c>
      <c r="M210" t="s">
        <v>282</v>
      </c>
    </row>
    <row r="211" spans="1:13" hidden="1" x14ac:dyDescent="0.25">
      <c r="A211" s="17">
        <v>46080</v>
      </c>
      <c r="B211" t="s">
        <v>1103</v>
      </c>
      <c r="C211">
        <v>261</v>
      </c>
      <c r="D211">
        <v>5004</v>
      </c>
      <c r="E211" t="s">
        <v>123</v>
      </c>
      <c r="F211" t="s">
        <v>229</v>
      </c>
      <c r="G211" t="s">
        <v>230</v>
      </c>
      <c r="H211">
        <v>-4</v>
      </c>
      <c r="I211">
        <f>SUMIF($D$2:D211, D211, $H$2:H211)</f>
        <v>-20</v>
      </c>
      <c r="J211" t="s">
        <v>61</v>
      </c>
      <c r="K211">
        <v>1350</v>
      </c>
      <c r="L211">
        <f>ABS(Tabela4[[#This Row],[Quantidade]]*Tabela4[[#This Row],[Valor Unitario]])</f>
        <v>5400</v>
      </c>
      <c r="M211" t="s">
        <v>1104</v>
      </c>
    </row>
    <row r="212" spans="1:13" hidden="1" x14ac:dyDescent="0.25">
      <c r="A212" s="17">
        <v>46080</v>
      </c>
      <c r="B212" t="s">
        <v>1135</v>
      </c>
      <c r="C212">
        <v>261</v>
      </c>
      <c r="D212">
        <v>5005</v>
      </c>
      <c r="E212" t="s">
        <v>125</v>
      </c>
      <c r="F212" t="s">
        <v>229</v>
      </c>
      <c r="G212" t="s">
        <v>230</v>
      </c>
      <c r="H212">
        <v>-32</v>
      </c>
      <c r="I212">
        <f>SUMIF($D$2:D212, D212, $H$2:H212)</f>
        <v>-16</v>
      </c>
      <c r="J212" t="s">
        <v>61</v>
      </c>
      <c r="K212">
        <v>780</v>
      </c>
      <c r="L212">
        <f>ABS(Tabela4[[#This Row],[Quantidade]]*Tabela4[[#This Row],[Valor Unitario]])</f>
        <v>24960</v>
      </c>
      <c r="M212" t="s">
        <v>1136</v>
      </c>
    </row>
    <row r="213" spans="1:13" hidden="1" x14ac:dyDescent="0.25">
      <c r="A213" s="17">
        <v>46080</v>
      </c>
      <c r="B213" t="s">
        <v>1167</v>
      </c>
      <c r="C213">
        <v>261</v>
      </c>
      <c r="D213">
        <v>5006</v>
      </c>
      <c r="E213" t="s">
        <v>127</v>
      </c>
      <c r="F213" t="s">
        <v>229</v>
      </c>
      <c r="G213" t="s">
        <v>230</v>
      </c>
      <c r="H213">
        <v>-81</v>
      </c>
      <c r="I213">
        <f>SUMIF($D$2:D213, D213, $H$2:H213)</f>
        <v>-27</v>
      </c>
      <c r="J213" t="s">
        <v>103</v>
      </c>
      <c r="K213">
        <v>22</v>
      </c>
      <c r="L213">
        <f>ABS(Tabela4[[#This Row],[Quantidade]]*Tabela4[[#This Row],[Valor Unitario]])</f>
        <v>1782</v>
      </c>
      <c r="M213" t="s">
        <v>1168</v>
      </c>
    </row>
    <row r="214" spans="1:13" hidden="1" x14ac:dyDescent="0.25">
      <c r="A214" s="17">
        <v>46080</v>
      </c>
      <c r="B214" t="s">
        <v>1231</v>
      </c>
      <c r="C214">
        <v>261</v>
      </c>
      <c r="D214">
        <v>6001</v>
      </c>
      <c r="E214" t="s">
        <v>131</v>
      </c>
      <c r="F214" t="s">
        <v>229</v>
      </c>
      <c r="G214" t="s">
        <v>230</v>
      </c>
      <c r="H214">
        <v>-70</v>
      </c>
      <c r="I214">
        <f>SUMIF($D$2:D214, D214, $H$2:H214)</f>
        <v>-4</v>
      </c>
      <c r="J214" t="s">
        <v>61</v>
      </c>
      <c r="K214">
        <v>15800</v>
      </c>
      <c r="L214">
        <f>ABS(Tabela4[[#This Row],[Quantidade]]*Tabela4[[#This Row],[Valor Unitario]])</f>
        <v>1106000</v>
      </c>
      <c r="M214" t="s">
        <v>1232</v>
      </c>
    </row>
    <row r="215" spans="1:13" hidden="1" x14ac:dyDescent="0.25">
      <c r="A215" s="17">
        <v>46081</v>
      </c>
      <c r="B215" t="s">
        <v>783</v>
      </c>
      <c r="C215">
        <v>261</v>
      </c>
      <c r="D215">
        <v>2361</v>
      </c>
      <c r="E215" t="s">
        <v>99</v>
      </c>
      <c r="F215" t="s">
        <v>229</v>
      </c>
      <c r="G215" t="s">
        <v>230</v>
      </c>
      <c r="H215">
        <v>-2</v>
      </c>
      <c r="I215">
        <f>SUMIF($D$2:D215, D215, $H$2:H215)</f>
        <v>24</v>
      </c>
      <c r="J215" t="s">
        <v>61</v>
      </c>
      <c r="K215">
        <v>68</v>
      </c>
      <c r="L215">
        <f>ABS(Tabela4[[#This Row],[Quantidade]]*Tabela4[[#This Row],[Valor Unitario]])</f>
        <v>136</v>
      </c>
      <c r="M215" t="s">
        <v>784</v>
      </c>
    </row>
    <row r="216" spans="1:13" hidden="1" x14ac:dyDescent="0.25">
      <c r="A216" s="17">
        <v>46081</v>
      </c>
      <c r="B216" t="s">
        <v>879</v>
      </c>
      <c r="C216">
        <v>261</v>
      </c>
      <c r="D216">
        <v>3003</v>
      </c>
      <c r="E216" t="s">
        <v>107</v>
      </c>
      <c r="F216" t="s">
        <v>229</v>
      </c>
      <c r="G216" t="s">
        <v>230</v>
      </c>
      <c r="H216">
        <v>-13</v>
      </c>
      <c r="I216">
        <f>SUMIF($D$2:D216, D216, $H$2:H216)</f>
        <v>51</v>
      </c>
      <c r="J216" t="s">
        <v>61</v>
      </c>
      <c r="K216">
        <v>2450</v>
      </c>
      <c r="L216">
        <f>ABS(Tabela4[[#This Row],[Quantidade]]*Tabela4[[#This Row],[Valor Unitario]])</f>
        <v>31850</v>
      </c>
      <c r="M216" t="s">
        <v>880</v>
      </c>
    </row>
    <row r="217" spans="1:13" hidden="1" x14ac:dyDescent="0.25">
      <c r="A217" s="17">
        <v>46082</v>
      </c>
      <c r="B217" t="s">
        <v>389</v>
      </c>
      <c r="C217">
        <v>101</v>
      </c>
      <c r="D217">
        <v>2005</v>
      </c>
      <c r="E217" t="s">
        <v>71</v>
      </c>
      <c r="F217" t="s">
        <v>229</v>
      </c>
      <c r="G217" t="s">
        <v>230</v>
      </c>
      <c r="H217">
        <v>99</v>
      </c>
      <c r="I217">
        <f>SUMIF($D$2:D217, D217, $H$2:H217)</f>
        <v>74</v>
      </c>
      <c r="J217" t="s">
        <v>61</v>
      </c>
      <c r="K217">
        <v>3450</v>
      </c>
      <c r="L217">
        <f>ABS(Tabela4[[#This Row],[Quantidade]]*Tabela4[[#This Row],[Valor Unitario]])</f>
        <v>341550</v>
      </c>
      <c r="M217" t="s">
        <v>299</v>
      </c>
    </row>
    <row r="218" spans="1:13" hidden="1" x14ac:dyDescent="0.25">
      <c r="A218" s="17">
        <v>46082</v>
      </c>
      <c r="B218" t="s">
        <v>465</v>
      </c>
      <c r="C218">
        <v>101</v>
      </c>
      <c r="D218">
        <v>2008</v>
      </c>
      <c r="E218" t="s">
        <v>78</v>
      </c>
      <c r="F218" t="s">
        <v>229</v>
      </c>
      <c r="G218" t="s">
        <v>230</v>
      </c>
      <c r="H218">
        <v>1</v>
      </c>
      <c r="I218">
        <f>SUMIF($D$2:D218, D218, $H$2:H218)</f>
        <v>31</v>
      </c>
      <c r="J218" t="s">
        <v>61</v>
      </c>
      <c r="K218">
        <v>24500</v>
      </c>
      <c r="L218">
        <f>ABS(Tabela4[[#This Row],[Quantidade]]*Tabela4[[#This Row],[Valor Unitario]])</f>
        <v>24500</v>
      </c>
      <c r="M218" t="s">
        <v>466</v>
      </c>
    </row>
    <row r="219" spans="1:13" hidden="1" x14ac:dyDescent="0.25">
      <c r="A219" s="17">
        <v>46082</v>
      </c>
      <c r="B219" t="s">
        <v>593</v>
      </c>
      <c r="C219">
        <v>101</v>
      </c>
      <c r="D219">
        <v>2012</v>
      </c>
      <c r="E219" t="s">
        <v>86</v>
      </c>
      <c r="F219" t="s">
        <v>229</v>
      </c>
      <c r="G219" t="s">
        <v>230</v>
      </c>
      <c r="H219">
        <v>69</v>
      </c>
      <c r="I219">
        <f>SUMIF($D$2:D219, D219, $H$2:H219)</f>
        <v>108</v>
      </c>
      <c r="J219" t="s">
        <v>61</v>
      </c>
      <c r="K219">
        <v>5400</v>
      </c>
      <c r="L219">
        <f>ABS(Tabela4[[#This Row],[Quantidade]]*Tabela4[[#This Row],[Valor Unitario]])</f>
        <v>372600</v>
      </c>
      <c r="M219" t="s">
        <v>594</v>
      </c>
    </row>
    <row r="220" spans="1:13" hidden="1" x14ac:dyDescent="0.25">
      <c r="A220" s="17">
        <v>46082</v>
      </c>
      <c r="B220" t="s">
        <v>1041</v>
      </c>
      <c r="C220">
        <v>101</v>
      </c>
      <c r="D220">
        <v>5002</v>
      </c>
      <c r="E220" t="s">
        <v>119</v>
      </c>
      <c r="F220" t="s">
        <v>229</v>
      </c>
      <c r="G220" t="s">
        <v>230</v>
      </c>
      <c r="H220">
        <v>85</v>
      </c>
      <c r="I220">
        <f>SUMIF($D$2:D220, D220, $H$2:H220)</f>
        <v>131</v>
      </c>
      <c r="J220" t="s">
        <v>61</v>
      </c>
      <c r="K220">
        <v>17800</v>
      </c>
      <c r="L220">
        <f>ABS(Tabela4[[#This Row],[Quantidade]]*Tabela4[[#This Row],[Valor Unitario]])</f>
        <v>1513000</v>
      </c>
      <c r="M220" t="s">
        <v>1042</v>
      </c>
    </row>
    <row r="221" spans="1:13" hidden="1" x14ac:dyDescent="0.25">
      <c r="A221" s="17">
        <v>46082</v>
      </c>
      <c r="B221" t="s">
        <v>1073</v>
      </c>
      <c r="C221">
        <v>101</v>
      </c>
      <c r="D221">
        <v>5003</v>
      </c>
      <c r="E221" t="s">
        <v>121</v>
      </c>
      <c r="F221" t="s">
        <v>229</v>
      </c>
      <c r="G221" t="s">
        <v>230</v>
      </c>
      <c r="H221">
        <v>47</v>
      </c>
      <c r="I221">
        <f>SUMIF($D$2:D221, D221, $H$2:H221)</f>
        <v>133</v>
      </c>
      <c r="J221" t="s">
        <v>61</v>
      </c>
      <c r="K221">
        <v>8900</v>
      </c>
      <c r="L221">
        <f>ABS(Tabela4[[#This Row],[Quantidade]]*Tabela4[[#This Row],[Valor Unitario]])</f>
        <v>418300</v>
      </c>
      <c r="M221" t="s">
        <v>1074</v>
      </c>
    </row>
    <row r="222" spans="1:13" hidden="1" x14ac:dyDescent="0.25">
      <c r="A222" s="17">
        <v>46082</v>
      </c>
      <c r="B222" t="s">
        <v>1361</v>
      </c>
      <c r="C222">
        <v>101</v>
      </c>
      <c r="D222">
        <v>7001</v>
      </c>
      <c r="E222" t="s">
        <v>140</v>
      </c>
      <c r="F222" t="s">
        <v>229</v>
      </c>
      <c r="G222" t="s">
        <v>230</v>
      </c>
      <c r="H222">
        <v>97</v>
      </c>
      <c r="I222">
        <f>SUMIF($D$2:D222, D222, $H$2:H222)</f>
        <v>52</v>
      </c>
      <c r="J222" t="s">
        <v>61</v>
      </c>
      <c r="K222">
        <v>210</v>
      </c>
      <c r="L222">
        <f>ABS(Tabela4[[#This Row],[Quantidade]]*Tabela4[[#This Row],[Valor Unitario]])</f>
        <v>20370</v>
      </c>
      <c r="M222" t="s">
        <v>1362</v>
      </c>
    </row>
    <row r="223" spans="1:13" hidden="1" x14ac:dyDescent="0.25">
      <c r="A223" s="17">
        <v>46083</v>
      </c>
      <c r="B223" t="s">
        <v>1009</v>
      </c>
      <c r="C223">
        <v>101</v>
      </c>
      <c r="D223">
        <v>5001</v>
      </c>
      <c r="E223" t="s">
        <v>116</v>
      </c>
      <c r="F223" t="s">
        <v>229</v>
      </c>
      <c r="G223" t="s">
        <v>230</v>
      </c>
      <c r="H223">
        <v>96</v>
      </c>
      <c r="I223">
        <f>SUMIF($D$2:D223, D223, $H$2:H223)</f>
        <v>115</v>
      </c>
      <c r="J223" t="s">
        <v>61</v>
      </c>
      <c r="K223">
        <v>32500</v>
      </c>
      <c r="L223">
        <f>ABS(Tabela4[[#This Row],[Quantidade]]*Tabela4[[#This Row],[Valor Unitario]])</f>
        <v>3120000</v>
      </c>
      <c r="M223" t="s">
        <v>1010</v>
      </c>
    </row>
    <row r="224" spans="1:13" hidden="1" x14ac:dyDescent="0.25">
      <c r="A224" s="17">
        <v>46083</v>
      </c>
      <c r="B224" t="s">
        <v>1137</v>
      </c>
      <c r="C224">
        <v>101</v>
      </c>
      <c r="D224">
        <v>5005</v>
      </c>
      <c r="E224" t="s">
        <v>125</v>
      </c>
      <c r="F224" t="s">
        <v>229</v>
      </c>
      <c r="G224" t="s">
        <v>230</v>
      </c>
      <c r="H224">
        <v>61</v>
      </c>
      <c r="I224">
        <f>SUMIF($D$2:D224, D224, $H$2:H224)</f>
        <v>45</v>
      </c>
      <c r="J224" t="s">
        <v>61</v>
      </c>
      <c r="K224">
        <v>780</v>
      </c>
      <c r="L224">
        <f>ABS(Tabela4[[#This Row],[Quantidade]]*Tabela4[[#This Row],[Valor Unitario]])</f>
        <v>47580</v>
      </c>
      <c r="M224" t="s">
        <v>1138</v>
      </c>
    </row>
    <row r="225" spans="1:13" hidden="1" x14ac:dyDescent="0.25">
      <c r="A225" s="17">
        <v>46084</v>
      </c>
      <c r="B225" t="s">
        <v>625</v>
      </c>
      <c r="C225">
        <v>101</v>
      </c>
      <c r="D225">
        <v>2356</v>
      </c>
      <c r="E225" t="s">
        <v>88</v>
      </c>
      <c r="F225" t="s">
        <v>229</v>
      </c>
      <c r="G225" t="s">
        <v>230</v>
      </c>
      <c r="H225">
        <v>46</v>
      </c>
      <c r="I225">
        <f>SUMIF($D$2:D225, D225, $H$2:H225)</f>
        <v>98</v>
      </c>
      <c r="J225" t="s">
        <v>61</v>
      </c>
      <c r="K225">
        <v>145</v>
      </c>
      <c r="L225">
        <f>ABS(Tabela4[[#This Row],[Quantidade]]*Tabela4[[#This Row],[Valor Unitario]])</f>
        <v>6670</v>
      </c>
      <c r="M225" t="s">
        <v>626</v>
      </c>
    </row>
    <row r="226" spans="1:13" hidden="1" x14ac:dyDescent="0.25">
      <c r="A226" s="17">
        <v>46085</v>
      </c>
      <c r="B226" t="s">
        <v>497</v>
      </c>
      <c r="C226">
        <v>101</v>
      </c>
      <c r="D226">
        <v>2009</v>
      </c>
      <c r="E226" t="s">
        <v>80</v>
      </c>
      <c r="F226" t="s">
        <v>229</v>
      </c>
      <c r="G226" t="s">
        <v>230</v>
      </c>
      <c r="H226">
        <v>19</v>
      </c>
      <c r="I226">
        <f>SUMIF($D$2:D226, D226, $H$2:H226)</f>
        <v>14</v>
      </c>
      <c r="J226" t="s">
        <v>61</v>
      </c>
      <c r="K226">
        <v>1650</v>
      </c>
      <c r="L226">
        <f>ABS(Tabela4[[#This Row],[Quantidade]]*Tabela4[[#This Row],[Valor Unitario]])</f>
        <v>31350</v>
      </c>
      <c r="M226" t="s">
        <v>498</v>
      </c>
    </row>
    <row r="227" spans="1:13" hidden="1" x14ac:dyDescent="0.25">
      <c r="A227" s="17">
        <v>46085</v>
      </c>
      <c r="B227" t="s">
        <v>1521</v>
      </c>
      <c r="C227">
        <v>101</v>
      </c>
      <c r="D227">
        <v>9001</v>
      </c>
      <c r="E227" t="s">
        <v>154</v>
      </c>
      <c r="F227" t="s">
        <v>229</v>
      </c>
      <c r="G227" t="s">
        <v>230</v>
      </c>
      <c r="H227">
        <v>86</v>
      </c>
      <c r="I227">
        <f>SUMIF($D$2:D227, D227, $H$2:H227)</f>
        <v>135</v>
      </c>
      <c r="J227" t="s">
        <v>61</v>
      </c>
      <c r="K227">
        <v>18</v>
      </c>
      <c r="L227">
        <f>ABS(Tabela4[[#This Row],[Quantidade]]*Tabela4[[#This Row],[Valor Unitario]])</f>
        <v>1548</v>
      </c>
      <c r="M227" t="s">
        <v>1522</v>
      </c>
    </row>
    <row r="228" spans="1:13" hidden="1" x14ac:dyDescent="0.25">
      <c r="A228" s="17">
        <v>46085</v>
      </c>
      <c r="B228" t="s">
        <v>1617</v>
      </c>
      <c r="C228">
        <v>101</v>
      </c>
      <c r="D228">
        <v>9004</v>
      </c>
      <c r="E228" t="s">
        <v>161</v>
      </c>
      <c r="F228" t="s">
        <v>229</v>
      </c>
      <c r="G228" t="s">
        <v>230</v>
      </c>
      <c r="H228">
        <v>5</v>
      </c>
      <c r="I228">
        <f>SUMIF($D$2:D228, D228, $H$2:H228)</f>
        <v>98</v>
      </c>
      <c r="J228" t="s">
        <v>61</v>
      </c>
      <c r="K228">
        <v>45</v>
      </c>
      <c r="L228">
        <f>ABS(Tabela4[[#This Row],[Quantidade]]*Tabela4[[#This Row],[Valor Unitario]])</f>
        <v>225</v>
      </c>
      <c r="M228" t="s">
        <v>1618</v>
      </c>
    </row>
    <row r="229" spans="1:13" hidden="1" x14ac:dyDescent="0.25">
      <c r="A229" s="17">
        <v>46086</v>
      </c>
      <c r="B229" t="s">
        <v>1233</v>
      </c>
      <c r="C229">
        <v>101</v>
      </c>
      <c r="D229">
        <v>6001</v>
      </c>
      <c r="E229" t="s">
        <v>131</v>
      </c>
      <c r="F229" t="s">
        <v>229</v>
      </c>
      <c r="G229" t="s">
        <v>230</v>
      </c>
      <c r="H229">
        <v>33</v>
      </c>
      <c r="I229">
        <f>SUMIF($D$2:D229, D229, $H$2:H229)</f>
        <v>29</v>
      </c>
      <c r="J229" t="s">
        <v>61</v>
      </c>
      <c r="K229">
        <v>15800</v>
      </c>
      <c r="L229">
        <f>ABS(Tabela4[[#This Row],[Quantidade]]*Tabela4[[#This Row],[Valor Unitario]])</f>
        <v>521400</v>
      </c>
      <c r="M229" t="s">
        <v>1234</v>
      </c>
    </row>
    <row r="230" spans="1:13" hidden="1" x14ac:dyDescent="0.25">
      <c r="A230" s="17">
        <v>46087</v>
      </c>
      <c r="B230" t="s">
        <v>945</v>
      </c>
      <c r="C230">
        <v>101</v>
      </c>
      <c r="D230">
        <v>4001</v>
      </c>
      <c r="E230" t="s">
        <v>111</v>
      </c>
      <c r="F230" t="s">
        <v>229</v>
      </c>
      <c r="G230" t="s">
        <v>230</v>
      </c>
      <c r="H230">
        <v>85</v>
      </c>
      <c r="I230">
        <f>SUMIF($D$2:D230, D230, $H$2:H230)</f>
        <v>78</v>
      </c>
      <c r="J230" t="s">
        <v>61</v>
      </c>
      <c r="K230">
        <v>3200</v>
      </c>
      <c r="L230">
        <f>ABS(Tabela4[[#This Row],[Quantidade]]*Tabela4[[#This Row],[Valor Unitario]])</f>
        <v>272000</v>
      </c>
      <c r="M230" t="s">
        <v>946</v>
      </c>
    </row>
    <row r="231" spans="1:13" hidden="1" x14ac:dyDescent="0.25">
      <c r="A231" s="17">
        <v>46087</v>
      </c>
      <c r="B231" t="s">
        <v>1489</v>
      </c>
      <c r="C231">
        <v>101</v>
      </c>
      <c r="D231">
        <v>8002</v>
      </c>
      <c r="E231" t="s">
        <v>151</v>
      </c>
      <c r="F231" t="s">
        <v>229</v>
      </c>
      <c r="G231" t="s">
        <v>230</v>
      </c>
      <c r="H231">
        <v>2</v>
      </c>
      <c r="I231">
        <f>SUMIF($D$2:D231, D231, $H$2:H231)</f>
        <v>-9</v>
      </c>
      <c r="J231" t="s">
        <v>152</v>
      </c>
      <c r="K231">
        <v>32</v>
      </c>
      <c r="L231">
        <f>ABS(Tabela4[[#This Row],[Quantidade]]*Tabela4[[#This Row],[Valor Unitario]])</f>
        <v>64</v>
      </c>
      <c r="M231" t="s">
        <v>1490</v>
      </c>
    </row>
    <row r="232" spans="1:13" hidden="1" x14ac:dyDescent="0.25">
      <c r="A232" s="17">
        <v>46088</v>
      </c>
      <c r="B232" t="s">
        <v>405</v>
      </c>
      <c r="C232">
        <v>101</v>
      </c>
      <c r="D232">
        <v>2006</v>
      </c>
      <c r="E232" t="s">
        <v>74</v>
      </c>
      <c r="F232" t="s">
        <v>229</v>
      </c>
      <c r="G232" t="s">
        <v>230</v>
      </c>
      <c r="H232">
        <v>59</v>
      </c>
      <c r="I232">
        <f>SUMIF($D$2:D232, D232, $H$2:H232)</f>
        <v>83</v>
      </c>
      <c r="J232" t="s">
        <v>61</v>
      </c>
      <c r="K232">
        <v>2870</v>
      </c>
      <c r="L232">
        <f>ABS(Tabela4[[#This Row],[Quantidade]]*Tabela4[[#This Row],[Valor Unitario]])</f>
        <v>169330</v>
      </c>
      <c r="M232" t="s">
        <v>315</v>
      </c>
    </row>
    <row r="233" spans="1:13" hidden="1" x14ac:dyDescent="0.25">
      <c r="A233" s="17">
        <v>46089</v>
      </c>
      <c r="B233" t="s">
        <v>657</v>
      </c>
      <c r="C233">
        <v>101</v>
      </c>
      <c r="D233">
        <v>2357</v>
      </c>
      <c r="E233" t="s">
        <v>91</v>
      </c>
      <c r="F233" t="s">
        <v>229</v>
      </c>
      <c r="G233" t="s">
        <v>230</v>
      </c>
      <c r="H233">
        <v>16</v>
      </c>
      <c r="I233">
        <f>SUMIF($D$2:D233, D233, $H$2:H233)</f>
        <v>44</v>
      </c>
      <c r="J233" t="s">
        <v>61</v>
      </c>
      <c r="K233">
        <v>210</v>
      </c>
      <c r="L233">
        <f>ABS(Tabela4[[#This Row],[Quantidade]]*Tabela4[[#This Row],[Valor Unitario]])</f>
        <v>3360</v>
      </c>
      <c r="M233" t="s">
        <v>658</v>
      </c>
    </row>
    <row r="234" spans="1:13" hidden="1" x14ac:dyDescent="0.25">
      <c r="A234" s="17">
        <v>46089</v>
      </c>
      <c r="B234" t="s">
        <v>881</v>
      </c>
      <c r="C234">
        <v>101</v>
      </c>
      <c r="D234">
        <v>3003</v>
      </c>
      <c r="E234" t="s">
        <v>107</v>
      </c>
      <c r="F234" t="s">
        <v>229</v>
      </c>
      <c r="G234" t="s">
        <v>230</v>
      </c>
      <c r="H234">
        <v>42</v>
      </c>
      <c r="I234">
        <f>SUMIF($D$2:D234, D234, $H$2:H234)</f>
        <v>93</v>
      </c>
      <c r="J234" t="s">
        <v>61</v>
      </c>
      <c r="K234">
        <v>2450</v>
      </c>
      <c r="L234">
        <f>ABS(Tabela4[[#This Row],[Quantidade]]*Tabela4[[#This Row],[Valor Unitario]])</f>
        <v>102900</v>
      </c>
      <c r="M234" t="s">
        <v>882</v>
      </c>
    </row>
    <row r="235" spans="1:13" hidden="1" x14ac:dyDescent="0.25">
      <c r="A235" s="17">
        <v>46089</v>
      </c>
      <c r="B235" t="s">
        <v>1329</v>
      </c>
      <c r="C235">
        <v>101</v>
      </c>
      <c r="D235">
        <v>6004</v>
      </c>
      <c r="E235" t="s">
        <v>138</v>
      </c>
      <c r="F235" t="s">
        <v>229</v>
      </c>
      <c r="G235" t="s">
        <v>230</v>
      </c>
      <c r="H235">
        <v>64</v>
      </c>
      <c r="I235">
        <f>SUMIF($D$2:D235, D235, $H$2:H235)</f>
        <v>203</v>
      </c>
      <c r="J235" t="s">
        <v>61</v>
      </c>
      <c r="K235">
        <v>2650</v>
      </c>
      <c r="L235">
        <f>ABS(Tabela4[[#This Row],[Quantidade]]*Tabela4[[#This Row],[Valor Unitario]])</f>
        <v>169600</v>
      </c>
      <c r="M235" t="s">
        <v>1330</v>
      </c>
    </row>
    <row r="236" spans="1:13" hidden="1" x14ac:dyDescent="0.25">
      <c r="A236" s="17">
        <v>46089</v>
      </c>
      <c r="B236" t="s">
        <v>1553</v>
      </c>
      <c r="C236">
        <v>101</v>
      </c>
      <c r="D236">
        <v>9002</v>
      </c>
      <c r="E236" t="s">
        <v>157</v>
      </c>
      <c r="F236" t="s">
        <v>229</v>
      </c>
      <c r="G236" t="s">
        <v>230</v>
      </c>
      <c r="H236">
        <v>29</v>
      </c>
      <c r="I236">
        <f>SUMIF($D$2:D236, D236, $H$2:H236)</f>
        <v>77</v>
      </c>
      <c r="J236" t="s">
        <v>61</v>
      </c>
      <c r="K236">
        <v>6.5</v>
      </c>
      <c r="L236">
        <f>ABS(Tabela4[[#This Row],[Quantidade]]*Tabela4[[#This Row],[Valor Unitario]])</f>
        <v>188.5</v>
      </c>
      <c r="M236" t="s">
        <v>1554</v>
      </c>
    </row>
    <row r="237" spans="1:13" hidden="1" x14ac:dyDescent="0.25">
      <c r="A237" s="17">
        <v>46090</v>
      </c>
      <c r="B237" t="s">
        <v>373</v>
      </c>
      <c r="C237">
        <v>101</v>
      </c>
      <c r="D237">
        <v>2004</v>
      </c>
      <c r="E237" t="s">
        <v>69</v>
      </c>
      <c r="F237" t="s">
        <v>229</v>
      </c>
      <c r="G237" t="s">
        <v>230</v>
      </c>
      <c r="H237">
        <v>71</v>
      </c>
      <c r="I237">
        <f>SUMIF($D$2:D237, D237, $H$2:H237)</f>
        <v>69</v>
      </c>
      <c r="J237" t="s">
        <v>61</v>
      </c>
      <c r="K237">
        <v>11800</v>
      </c>
      <c r="L237">
        <f>ABS(Tabela4[[#This Row],[Quantidade]]*Tabela4[[#This Row],[Valor Unitario]])</f>
        <v>837800</v>
      </c>
      <c r="M237" t="s">
        <v>283</v>
      </c>
    </row>
    <row r="238" spans="1:13" hidden="1" x14ac:dyDescent="0.25">
      <c r="A238" s="17">
        <v>46090</v>
      </c>
      <c r="B238" t="s">
        <v>433</v>
      </c>
      <c r="C238">
        <v>101</v>
      </c>
      <c r="D238">
        <v>2007</v>
      </c>
      <c r="E238" t="s">
        <v>76</v>
      </c>
      <c r="F238" t="s">
        <v>229</v>
      </c>
      <c r="G238" t="s">
        <v>230</v>
      </c>
      <c r="H238">
        <v>62</v>
      </c>
      <c r="I238">
        <f>SUMIF($D$2:D238, D238, $H$2:H238)</f>
        <v>179</v>
      </c>
      <c r="J238" t="s">
        <v>61</v>
      </c>
      <c r="K238">
        <v>1980</v>
      </c>
      <c r="L238">
        <f>ABS(Tabela4[[#This Row],[Quantidade]]*Tabela4[[#This Row],[Valor Unitario]])</f>
        <v>122760</v>
      </c>
      <c r="M238" t="s">
        <v>434</v>
      </c>
    </row>
    <row r="239" spans="1:13" x14ac:dyDescent="0.25">
      <c r="A239" s="17">
        <v>46090</v>
      </c>
      <c r="B239" t="s">
        <v>721</v>
      </c>
      <c r="C239">
        <v>101</v>
      </c>
      <c r="D239">
        <v>2359</v>
      </c>
      <c r="E239" t="s">
        <v>95</v>
      </c>
      <c r="F239" t="s">
        <v>229</v>
      </c>
      <c r="G239" t="s">
        <v>230</v>
      </c>
      <c r="H239">
        <v>29</v>
      </c>
      <c r="I239">
        <f>SUMIF($D$2:D239, D239, $H$2:H239)</f>
        <v>42</v>
      </c>
      <c r="J239" t="s">
        <v>61</v>
      </c>
      <c r="K239">
        <v>1240</v>
      </c>
      <c r="L239">
        <f>ABS(Tabela4[[#This Row],[Quantidade]]*Tabela4[[#This Row],[Valor Unitario]])</f>
        <v>35960</v>
      </c>
      <c r="M239" t="s">
        <v>722</v>
      </c>
    </row>
    <row r="240" spans="1:13" hidden="1" x14ac:dyDescent="0.25">
      <c r="A240" s="17">
        <v>46091</v>
      </c>
      <c r="B240" t="s">
        <v>849</v>
      </c>
      <c r="C240">
        <v>101</v>
      </c>
      <c r="D240">
        <v>3002</v>
      </c>
      <c r="E240" t="s">
        <v>105</v>
      </c>
      <c r="F240" t="s">
        <v>229</v>
      </c>
      <c r="G240" t="s">
        <v>230</v>
      </c>
      <c r="H240">
        <v>16</v>
      </c>
      <c r="I240">
        <f>SUMIF($D$2:D240, D240, $H$2:H240)</f>
        <v>29</v>
      </c>
      <c r="J240" t="s">
        <v>61</v>
      </c>
      <c r="K240">
        <v>95</v>
      </c>
      <c r="L240">
        <f>ABS(Tabela4[[#This Row],[Quantidade]]*Tabela4[[#This Row],[Valor Unitario]])</f>
        <v>1520</v>
      </c>
      <c r="M240" t="s">
        <v>850</v>
      </c>
    </row>
    <row r="241" spans="1:13" hidden="1" x14ac:dyDescent="0.25">
      <c r="A241" s="17">
        <v>46091</v>
      </c>
      <c r="B241" t="s">
        <v>1105</v>
      </c>
      <c r="C241">
        <v>101</v>
      </c>
      <c r="D241">
        <v>5004</v>
      </c>
      <c r="E241" t="s">
        <v>123</v>
      </c>
      <c r="F241" t="s">
        <v>229</v>
      </c>
      <c r="G241" t="s">
        <v>230</v>
      </c>
      <c r="H241">
        <v>56</v>
      </c>
      <c r="I241">
        <f>SUMIF($D$2:D241, D241, $H$2:H241)</f>
        <v>36</v>
      </c>
      <c r="J241" t="s">
        <v>61</v>
      </c>
      <c r="K241">
        <v>1350</v>
      </c>
      <c r="L241">
        <f>ABS(Tabela4[[#This Row],[Quantidade]]*Tabela4[[#This Row],[Valor Unitario]])</f>
        <v>75600</v>
      </c>
      <c r="M241" t="s">
        <v>1106</v>
      </c>
    </row>
    <row r="242" spans="1:13" hidden="1" x14ac:dyDescent="0.25">
      <c r="A242" s="17">
        <v>46091</v>
      </c>
      <c r="B242" t="s">
        <v>1169</v>
      </c>
      <c r="C242">
        <v>101</v>
      </c>
      <c r="D242">
        <v>5006</v>
      </c>
      <c r="E242" t="s">
        <v>127</v>
      </c>
      <c r="F242" t="s">
        <v>229</v>
      </c>
      <c r="G242" t="s">
        <v>230</v>
      </c>
      <c r="H242">
        <v>36</v>
      </c>
      <c r="I242">
        <f>SUMIF($D$2:D242, D242, $H$2:H242)</f>
        <v>9</v>
      </c>
      <c r="J242" t="s">
        <v>103</v>
      </c>
      <c r="K242">
        <v>22</v>
      </c>
      <c r="L242">
        <f>ABS(Tabela4[[#This Row],[Quantidade]]*Tabela4[[#This Row],[Valor Unitario]])</f>
        <v>792</v>
      </c>
      <c r="M242" t="s">
        <v>1170</v>
      </c>
    </row>
    <row r="243" spans="1:13" hidden="1" x14ac:dyDescent="0.25">
      <c r="A243" s="17">
        <v>46091</v>
      </c>
      <c r="B243" t="s">
        <v>1201</v>
      </c>
      <c r="C243">
        <v>101</v>
      </c>
      <c r="D243">
        <v>5007</v>
      </c>
      <c r="E243" t="s">
        <v>129</v>
      </c>
      <c r="F243" t="s">
        <v>229</v>
      </c>
      <c r="G243" t="s">
        <v>230</v>
      </c>
      <c r="H243">
        <v>39</v>
      </c>
      <c r="I243">
        <f>SUMIF($D$2:D243, D243, $H$2:H243)</f>
        <v>-55</v>
      </c>
      <c r="J243" t="s">
        <v>61</v>
      </c>
      <c r="K243">
        <v>340</v>
      </c>
      <c r="L243">
        <f>ABS(Tabela4[[#This Row],[Quantidade]]*Tabela4[[#This Row],[Valor Unitario]])</f>
        <v>13260</v>
      </c>
      <c r="M243" t="s">
        <v>1202</v>
      </c>
    </row>
    <row r="244" spans="1:13" hidden="1" x14ac:dyDescent="0.25">
      <c r="A244" s="17">
        <v>46091</v>
      </c>
      <c r="B244" t="s">
        <v>1297</v>
      </c>
      <c r="C244">
        <v>101</v>
      </c>
      <c r="D244">
        <v>6003</v>
      </c>
      <c r="E244" t="s">
        <v>136</v>
      </c>
      <c r="F244" t="s">
        <v>229</v>
      </c>
      <c r="G244" t="s">
        <v>230</v>
      </c>
      <c r="H244">
        <v>44</v>
      </c>
      <c r="I244">
        <f>SUMIF($D$2:D244, D244, $H$2:H244)</f>
        <v>39</v>
      </c>
      <c r="J244" t="s">
        <v>103</v>
      </c>
      <c r="K244">
        <v>85</v>
      </c>
      <c r="L244">
        <f>ABS(Tabela4[[#This Row],[Quantidade]]*Tabela4[[#This Row],[Valor Unitario]])</f>
        <v>3740</v>
      </c>
      <c r="M244" t="s">
        <v>1298</v>
      </c>
    </row>
    <row r="245" spans="1:13" hidden="1" x14ac:dyDescent="0.25">
      <c r="A245" s="17">
        <v>46091</v>
      </c>
      <c r="B245" t="s">
        <v>1649</v>
      </c>
      <c r="C245">
        <v>101</v>
      </c>
      <c r="D245">
        <v>9005</v>
      </c>
      <c r="E245" t="s">
        <v>163</v>
      </c>
      <c r="F245" t="s">
        <v>229</v>
      </c>
      <c r="G245" t="s">
        <v>230</v>
      </c>
      <c r="H245">
        <v>58</v>
      </c>
      <c r="I245">
        <f>SUMIF($D$2:D245, D245, $H$2:H245)</f>
        <v>78</v>
      </c>
      <c r="J245" t="s">
        <v>61</v>
      </c>
      <c r="K245">
        <v>8.9</v>
      </c>
      <c r="L245">
        <f>ABS(Tabela4[[#This Row],[Quantidade]]*Tabela4[[#This Row],[Valor Unitario]])</f>
        <v>516.20000000000005</v>
      </c>
      <c r="M245" t="s">
        <v>1650</v>
      </c>
    </row>
    <row r="246" spans="1:13" hidden="1" x14ac:dyDescent="0.25">
      <c r="A246" s="17">
        <v>46092</v>
      </c>
      <c r="B246" t="s">
        <v>529</v>
      </c>
      <c r="C246">
        <v>101</v>
      </c>
      <c r="D246">
        <v>2010</v>
      </c>
      <c r="E246" t="s">
        <v>82</v>
      </c>
      <c r="F246" t="s">
        <v>229</v>
      </c>
      <c r="G246" t="s">
        <v>230</v>
      </c>
      <c r="H246">
        <v>9</v>
      </c>
      <c r="I246">
        <f>SUMIF($D$2:D246, D246, $H$2:H246)</f>
        <v>-33</v>
      </c>
      <c r="J246" t="s">
        <v>61</v>
      </c>
      <c r="K246">
        <v>2150</v>
      </c>
      <c r="L246">
        <f>ABS(Tabela4[[#This Row],[Quantidade]]*Tabela4[[#This Row],[Valor Unitario]])</f>
        <v>19350</v>
      </c>
      <c r="M246" t="s">
        <v>530</v>
      </c>
    </row>
    <row r="247" spans="1:13" hidden="1" x14ac:dyDescent="0.25">
      <c r="A247" s="17">
        <v>46092</v>
      </c>
      <c r="B247" t="s">
        <v>1265</v>
      </c>
      <c r="C247">
        <v>101</v>
      </c>
      <c r="D247">
        <v>6002</v>
      </c>
      <c r="E247" t="s">
        <v>134</v>
      </c>
      <c r="F247" t="s">
        <v>229</v>
      </c>
      <c r="G247" t="s">
        <v>230</v>
      </c>
      <c r="H247">
        <v>8</v>
      </c>
      <c r="I247">
        <f>SUMIF($D$2:D247, D247, $H$2:H247)</f>
        <v>63</v>
      </c>
      <c r="J247" t="s">
        <v>61</v>
      </c>
      <c r="K247">
        <v>6900</v>
      </c>
      <c r="L247">
        <f>ABS(Tabela4[[#This Row],[Quantidade]]*Tabela4[[#This Row],[Valor Unitario]])</f>
        <v>55200</v>
      </c>
      <c r="M247" t="s">
        <v>1266</v>
      </c>
    </row>
    <row r="248" spans="1:13" hidden="1" x14ac:dyDescent="0.25">
      <c r="A248" s="17">
        <v>46092</v>
      </c>
      <c r="B248" t="s">
        <v>1425</v>
      </c>
      <c r="C248">
        <v>101</v>
      </c>
      <c r="D248">
        <v>7003</v>
      </c>
      <c r="E248" t="s">
        <v>145</v>
      </c>
      <c r="F248" t="s">
        <v>229</v>
      </c>
      <c r="G248" t="s">
        <v>230</v>
      </c>
      <c r="H248">
        <v>74</v>
      </c>
      <c r="I248">
        <f>SUMIF($D$2:D248, D248, $H$2:H248)</f>
        <v>91</v>
      </c>
      <c r="J248" t="s">
        <v>61</v>
      </c>
      <c r="K248">
        <v>130</v>
      </c>
      <c r="L248">
        <f>ABS(Tabela4[[#This Row],[Quantidade]]*Tabela4[[#This Row],[Valor Unitario]])</f>
        <v>9620</v>
      </c>
      <c r="M248" t="s">
        <v>1426</v>
      </c>
    </row>
    <row r="249" spans="1:13" hidden="1" x14ac:dyDescent="0.25">
      <c r="A249" s="17">
        <v>46092</v>
      </c>
      <c r="B249" t="s">
        <v>1585</v>
      </c>
      <c r="C249">
        <v>101</v>
      </c>
      <c r="D249">
        <v>9003</v>
      </c>
      <c r="E249" t="s">
        <v>159</v>
      </c>
      <c r="F249" t="s">
        <v>229</v>
      </c>
      <c r="G249" t="s">
        <v>230</v>
      </c>
      <c r="H249">
        <v>16</v>
      </c>
      <c r="I249">
        <f>SUMIF($D$2:D249, D249, $H$2:H249)</f>
        <v>21</v>
      </c>
      <c r="J249" t="s">
        <v>61</v>
      </c>
      <c r="K249">
        <v>2.2000000000000002</v>
      </c>
      <c r="L249">
        <f>ABS(Tabela4[[#This Row],[Quantidade]]*Tabela4[[#This Row],[Valor Unitario]])</f>
        <v>35.200000000000003</v>
      </c>
      <c r="M249" t="s">
        <v>1586</v>
      </c>
    </row>
    <row r="250" spans="1:13" hidden="1" x14ac:dyDescent="0.25">
      <c r="A250" s="17">
        <v>46093</v>
      </c>
      <c r="B250" t="s">
        <v>977</v>
      </c>
      <c r="C250">
        <v>101</v>
      </c>
      <c r="D250">
        <v>4002</v>
      </c>
      <c r="E250" t="s">
        <v>114</v>
      </c>
      <c r="F250" t="s">
        <v>229</v>
      </c>
      <c r="G250" t="s">
        <v>230</v>
      </c>
      <c r="H250">
        <v>50</v>
      </c>
      <c r="I250">
        <f>SUMIF($D$2:D250, D250, $H$2:H250)</f>
        <v>18</v>
      </c>
      <c r="J250" t="s">
        <v>61</v>
      </c>
      <c r="K250">
        <v>4100</v>
      </c>
      <c r="L250">
        <f>ABS(Tabela4[[#This Row],[Quantidade]]*Tabela4[[#This Row],[Valor Unitario]])</f>
        <v>205000</v>
      </c>
      <c r="M250" t="s">
        <v>978</v>
      </c>
    </row>
    <row r="251" spans="1:13" hidden="1" x14ac:dyDescent="0.25">
      <c r="A251" s="17">
        <v>46094</v>
      </c>
      <c r="B251" t="s">
        <v>561</v>
      </c>
      <c r="C251">
        <v>101</v>
      </c>
      <c r="D251">
        <v>2011</v>
      </c>
      <c r="E251" t="s">
        <v>84</v>
      </c>
      <c r="F251" t="s">
        <v>229</v>
      </c>
      <c r="G251" t="s">
        <v>230</v>
      </c>
      <c r="H251">
        <v>41</v>
      </c>
      <c r="I251">
        <f>SUMIF($D$2:D251, D251, $H$2:H251)</f>
        <v>26</v>
      </c>
      <c r="J251" t="s">
        <v>61</v>
      </c>
      <c r="K251">
        <v>9800</v>
      </c>
      <c r="L251">
        <f>ABS(Tabela4[[#This Row],[Quantidade]]*Tabela4[[#This Row],[Valor Unitario]])</f>
        <v>401800</v>
      </c>
      <c r="M251" t="s">
        <v>562</v>
      </c>
    </row>
    <row r="252" spans="1:13" hidden="1" x14ac:dyDescent="0.25">
      <c r="A252" s="17">
        <v>46094</v>
      </c>
      <c r="B252" t="s">
        <v>689</v>
      </c>
      <c r="C252">
        <v>101</v>
      </c>
      <c r="D252">
        <v>2358</v>
      </c>
      <c r="E252" t="s">
        <v>93</v>
      </c>
      <c r="F252" t="s">
        <v>229</v>
      </c>
      <c r="G252" t="s">
        <v>230</v>
      </c>
      <c r="H252">
        <v>30</v>
      </c>
      <c r="I252">
        <f>SUMIF($D$2:D252, D252, $H$2:H252)</f>
        <v>51</v>
      </c>
      <c r="J252" t="s">
        <v>61</v>
      </c>
      <c r="K252">
        <v>890</v>
      </c>
      <c r="L252">
        <f>ABS(Tabela4[[#This Row],[Quantidade]]*Tabela4[[#This Row],[Valor Unitario]])</f>
        <v>26700</v>
      </c>
      <c r="M252" t="s">
        <v>690</v>
      </c>
    </row>
    <row r="253" spans="1:13" hidden="1" x14ac:dyDescent="0.25">
      <c r="A253" s="17">
        <v>46094</v>
      </c>
      <c r="B253" t="s">
        <v>753</v>
      </c>
      <c r="C253">
        <v>101</v>
      </c>
      <c r="D253">
        <v>2360</v>
      </c>
      <c r="E253" t="s">
        <v>97</v>
      </c>
      <c r="F253" t="s">
        <v>229</v>
      </c>
      <c r="G253" t="s">
        <v>230</v>
      </c>
      <c r="H253">
        <v>4</v>
      </c>
      <c r="I253">
        <f>SUMIF($D$2:D253, D253, $H$2:H253)</f>
        <v>46</v>
      </c>
      <c r="J253" t="s">
        <v>61</v>
      </c>
      <c r="K253">
        <v>2380</v>
      </c>
      <c r="L253">
        <f>ABS(Tabela4[[#This Row],[Quantidade]]*Tabela4[[#This Row],[Valor Unitario]])</f>
        <v>9520</v>
      </c>
      <c r="M253" t="s">
        <v>754</v>
      </c>
    </row>
    <row r="254" spans="1:13" hidden="1" x14ac:dyDescent="0.25">
      <c r="A254" s="17">
        <v>46094</v>
      </c>
      <c r="B254" t="s">
        <v>785</v>
      </c>
      <c r="C254">
        <v>101</v>
      </c>
      <c r="D254">
        <v>2361</v>
      </c>
      <c r="E254" t="s">
        <v>99</v>
      </c>
      <c r="F254" t="s">
        <v>229</v>
      </c>
      <c r="G254" t="s">
        <v>230</v>
      </c>
      <c r="H254">
        <v>35</v>
      </c>
      <c r="I254">
        <f>SUMIF($D$2:D254, D254, $H$2:H254)</f>
        <v>59</v>
      </c>
      <c r="J254" t="s">
        <v>61</v>
      </c>
      <c r="K254">
        <v>68</v>
      </c>
      <c r="L254">
        <f>ABS(Tabela4[[#This Row],[Quantidade]]*Tabela4[[#This Row],[Valor Unitario]])</f>
        <v>2380</v>
      </c>
      <c r="M254" t="s">
        <v>786</v>
      </c>
    </row>
    <row r="255" spans="1:13" hidden="1" x14ac:dyDescent="0.25">
      <c r="A255" s="17">
        <v>46094</v>
      </c>
      <c r="B255" t="s">
        <v>1457</v>
      </c>
      <c r="C255">
        <v>101</v>
      </c>
      <c r="D255">
        <v>8001</v>
      </c>
      <c r="E255" t="s">
        <v>147</v>
      </c>
      <c r="F255" t="s">
        <v>229</v>
      </c>
      <c r="G255" t="s">
        <v>230</v>
      </c>
      <c r="H255">
        <v>78</v>
      </c>
      <c r="I255">
        <f>SUMIF($D$2:D255, D255, $H$2:H255)</f>
        <v>-19</v>
      </c>
      <c r="J255" t="s">
        <v>149</v>
      </c>
      <c r="K255">
        <v>28</v>
      </c>
      <c r="L255">
        <f>ABS(Tabela4[[#This Row],[Quantidade]]*Tabela4[[#This Row],[Valor Unitario]])</f>
        <v>2184</v>
      </c>
      <c r="M255" t="s">
        <v>1458</v>
      </c>
    </row>
    <row r="256" spans="1:13" hidden="1" x14ac:dyDescent="0.25">
      <c r="A256" s="17">
        <v>46095</v>
      </c>
      <c r="B256" t="s">
        <v>817</v>
      </c>
      <c r="C256">
        <v>101</v>
      </c>
      <c r="D256">
        <v>3001</v>
      </c>
      <c r="E256" t="s">
        <v>101</v>
      </c>
      <c r="F256" t="s">
        <v>229</v>
      </c>
      <c r="G256" t="s">
        <v>230</v>
      </c>
      <c r="H256">
        <v>96</v>
      </c>
      <c r="I256">
        <f>SUMIF($D$2:D256, D256, $H$2:H256)</f>
        <v>182</v>
      </c>
      <c r="J256" t="s">
        <v>103</v>
      </c>
      <c r="K256">
        <v>320</v>
      </c>
      <c r="L256">
        <f>ABS(Tabela4[[#This Row],[Quantidade]]*Tabela4[[#This Row],[Valor Unitario]])</f>
        <v>30720</v>
      </c>
      <c r="M256" t="s">
        <v>818</v>
      </c>
    </row>
    <row r="257" spans="1:13" hidden="1" x14ac:dyDescent="0.25">
      <c r="A257" s="17">
        <v>46095</v>
      </c>
      <c r="B257" t="s">
        <v>913</v>
      </c>
      <c r="C257">
        <v>101</v>
      </c>
      <c r="D257">
        <v>3004</v>
      </c>
      <c r="E257" t="s">
        <v>109</v>
      </c>
      <c r="F257" t="s">
        <v>229</v>
      </c>
      <c r="G257" t="s">
        <v>230</v>
      </c>
      <c r="H257">
        <v>67</v>
      </c>
      <c r="I257">
        <f>SUMIF($D$2:D257, D257, $H$2:H257)</f>
        <v>81</v>
      </c>
      <c r="J257" t="s">
        <v>61</v>
      </c>
      <c r="K257">
        <v>2180</v>
      </c>
      <c r="L257">
        <f>ABS(Tabela4[[#This Row],[Quantidade]]*Tabela4[[#This Row],[Valor Unitario]])</f>
        <v>146060</v>
      </c>
      <c r="M257" t="s">
        <v>914</v>
      </c>
    </row>
    <row r="258" spans="1:13" hidden="1" x14ac:dyDescent="0.25">
      <c r="A258" s="17">
        <v>46095</v>
      </c>
      <c r="B258" t="s">
        <v>1393</v>
      </c>
      <c r="C258">
        <v>101</v>
      </c>
      <c r="D258">
        <v>7002</v>
      </c>
      <c r="E258" t="s">
        <v>143</v>
      </c>
      <c r="F258" t="s">
        <v>229</v>
      </c>
      <c r="G258" t="s">
        <v>230</v>
      </c>
      <c r="H258">
        <v>68</v>
      </c>
      <c r="I258">
        <f>SUMIF($D$2:D258, D258, $H$2:H258)</f>
        <v>34</v>
      </c>
      <c r="J258" t="s">
        <v>61</v>
      </c>
      <c r="K258">
        <v>95</v>
      </c>
      <c r="L258">
        <f>ABS(Tabela4[[#This Row],[Quantidade]]*Tabela4[[#This Row],[Valor Unitario]])</f>
        <v>6460</v>
      </c>
      <c r="M258" t="s">
        <v>1394</v>
      </c>
    </row>
    <row r="259" spans="1:13" hidden="1" x14ac:dyDescent="0.25">
      <c r="A259" s="17">
        <v>46096</v>
      </c>
      <c r="B259" t="s">
        <v>1171</v>
      </c>
      <c r="C259">
        <v>261</v>
      </c>
      <c r="D259">
        <v>5006</v>
      </c>
      <c r="E259" t="s">
        <v>127</v>
      </c>
      <c r="F259" t="s">
        <v>229</v>
      </c>
      <c r="G259" t="s">
        <v>230</v>
      </c>
      <c r="H259">
        <v>-8</v>
      </c>
      <c r="I259">
        <f>SUMIF($D$2:D259, D259, $H$2:H259)</f>
        <v>1</v>
      </c>
      <c r="J259" t="s">
        <v>103</v>
      </c>
      <c r="K259">
        <v>22</v>
      </c>
      <c r="L259">
        <f>ABS(Tabela4[[#This Row],[Quantidade]]*Tabela4[[#This Row],[Valor Unitario]])</f>
        <v>176</v>
      </c>
      <c r="M259" t="s">
        <v>1172</v>
      </c>
    </row>
    <row r="260" spans="1:13" hidden="1" x14ac:dyDescent="0.25">
      <c r="A260" s="17">
        <v>46097</v>
      </c>
      <c r="B260" t="s">
        <v>406</v>
      </c>
      <c r="C260">
        <v>261</v>
      </c>
      <c r="D260">
        <v>2006</v>
      </c>
      <c r="E260" t="s">
        <v>74</v>
      </c>
      <c r="F260" t="s">
        <v>229</v>
      </c>
      <c r="G260" t="s">
        <v>230</v>
      </c>
      <c r="H260">
        <v>-42</v>
      </c>
      <c r="I260">
        <f>SUMIF($D$2:D260, D260, $H$2:H260)</f>
        <v>41</v>
      </c>
      <c r="J260" t="s">
        <v>61</v>
      </c>
      <c r="K260">
        <v>2870</v>
      </c>
      <c r="L260">
        <f>ABS(Tabela4[[#This Row],[Quantidade]]*Tabela4[[#This Row],[Valor Unitario]])</f>
        <v>120540</v>
      </c>
      <c r="M260" t="s">
        <v>316</v>
      </c>
    </row>
    <row r="261" spans="1:13" hidden="1" x14ac:dyDescent="0.25">
      <c r="A261" s="17">
        <v>46097</v>
      </c>
      <c r="B261" t="s">
        <v>467</v>
      </c>
      <c r="C261">
        <v>261</v>
      </c>
      <c r="D261">
        <v>2008</v>
      </c>
      <c r="E261" t="s">
        <v>78</v>
      </c>
      <c r="F261" t="s">
        <v>229</v>
      </c>
      <c r="G261" t="s">
        <v>230</v>
      </c>
      <c r="H261">
        <v>-53</v>
      </c>
      <c r="I261">
        <f>SUMIF($D$2:D261, D261, $H$2:H261)</f>
        <v>-22</v>
      </c>
      <c r="J261" t="s">
        <v>61</v>
      </c>
      <c r="K261">
        <v>24500</v>
      </c>
      <c r="L261">
        <f>ABS(Tabela4[[#This Row],[Quantidade]]*Tabela4[[#This Row],[Valor Unitario]])</f>
        <v>1298500</v>
      </c>
      <c r="M261" t="s">
        <v>468</v>
      </c>
    </row>
    <row r="262" spans="1:13" hidden="1" x14ac:dyDescent="0.25">
      <c r="A262" s="17">
        <v>46097</v>
      </c>
      <c r="B262" t="s">
        <v>1299</v>
      </c>
      <c r="C262">
        <v>261</v>
      </c>
      <c r="D262">
        <v>6003</v>
      </c>
      <c r="E262" t="s">
        <v>136</v>
      </c>
      <c r="F262" t="s">
        <v>229</v>
      </c>
      <c r="G262" t="s">
        <v>230</v>
      </c>
      <c r="H262">
        <v>-13</v>
      </c>
      <c r="I262">
        <f>SUMIF($D$2:D262, D262, $H$2:H262)</f>
        <v>26</v>
      </c>
      <c r="J262" t="s">
        <v>103</v>
      </c>
      <c r="K262">
        <v>85</v>
      </c>
      <c r="L262">
        <f>ABS(Tabela4[[#This Row],[Quantidade]]*Tabela4[[#This Row],[Valor Unitario]])</f>
        <v>1105</v>
      </c>
      <c r="M262" t="s">
        <v>1300</v>
      </c>
    </row>
    <row r="263" spans="1:13" hidden="1" x14ac:dyDescent="0.25">
      <c r="A263" s="17">
        <v>46097</v>
      </c>
      <c r="B263" t="s">
        <v>1395</v>
      </c>
      <c r="C263">
        <v>261</v>
      </c>
      <c r="D263">
        <v>7002</v>
      </c>
      <c r="E263" t="s">
        <v>143</v>
      </c>
      <c r="F263" t="s">
        <v>229</v>
      </c>
      <c r="G263" t="s">
        <v>230</v>
      </c>
      <c r="H263">
        <v>-10</v>
      </c>
      <c r="I263">
        <f>SUMIF($D$2:D263, D263, $H$2:H263)</f>
        <v>24</v>
      </c>
      <c r="J263" t="s">
        <v>61</v>
      </c>
      <c r="K263">
        <v>95</v>
      </c>
      <c r="L263">
        <f>ABS(Tabela4[[#This Row],[Quantidade]]*Tabela4[[#This Row],[Valor Unitario]])</f>
        <v>950</v>
      </c>
      <c r="M263" t="s">
        <v>1396</v>
      </c>
    </row>
    <row r="264" spans="1:13" hidden="1" x14ac:dyDescent="0.25">
      <c r="A264" s="17">
        <v>46098</v>
      </c>
      <c r="B264" t="s">
        <v>499</v>
      </c>
      <c r="C264">
        <v>261</v>
      </c>
      <c r="D264">
        <v>2009</v>
      </c>
      <c r="E264" t="s">
        <v>80</v>
      </c>
      <c r="F264" t="s">
        <v>229</v>
      </c>
      <c r="G264" t="s">
        <v>230</v>
      </c>
      <c r="H264">
        <v>-19</v>
      </c>
      <c r="I264">
        <f>SUMIF($D$2:D264, D264, $H$2:H264)</f>
        <v>-5</v>
      </c>
      <c r="J264" t="s">
        <v>61</v>
      </c>
      <c r="K264">
        <v>1650</v>
      </c>
      <c r="L264">
        <f>ABS(Tabela4[[#This Row],[Quantidade]]*Tabela4[[#This Row],[Valor Unitario]])</f>
        <v>31350</v>
      </c>
      <c r="M264" t="s">
        <v>500</v>
      </c>
    </row>
    <row r="265" spans="1:13" hidden="1" x14ac:dyDescent="0.25">
      <c r="A265" s="17">
        <v>46099</v>
      </c>
      <c r="B265" t="s">
        <v>563</v>
      </c>
      <c r="C265">
        <v>261</v>
      </c>
      <c r="D265">
        <v>2011</v>
      </c>
      <c r="E265" t="s">
        <v>84</v>
      </c>
      <c r="F265" t="s">
        <v>229</v>
      </c>
      <c r="G265" t="s">
        <v>230</v>
      </c>
      <c r="H265">
        <v>-33</v>
      </c>
      <c r="I265">
        <f>SUMIF($D$2:D265, D265, $H$2:H265)</f>
        <v>-7</v>
      </c>
      <c r="J265" t="s">
        <v>61</v>
      </c>
      <c r="K265">
        <v>9800</v>
      </c>
      <c r="L265">
        <f>ABS(Tabela4[[#This Row],[Quantidade]]*Tabela4[[#This Row],[Valor Unitario]])</f>
        <v>323400</v>
      </c>
      <c r="M265" t="s">
        <v>564</v>
      </c>
    </row>
    <row r="266" spans="1:13" hidden="1" x14ac:dyDescent="0.25">
      <c r="A266" s="17">
        <v>46099</v>
      </c>
      <c r="B266" t="s">
        <v>1587</v>
      </c>
      <c r="C266">
        <v>261</v>
      </c>
      <c r="D266">
        <v>9003</v>
      </c>
      <c r="E266" t="s">
        <v>159</v>
      </c>
      <c r="F266" t="s">
        <v>229</v>
      </c>
      <c r="G266" t="s">
        <v>230</v>
      </c>
      <c r="H266">
        <v>-37</v>
      </c>
      <c r="I266">
        <f>SUMIF($D$2:D266, D266, $H$2:H266)</f>
        <v>-16</v>
      </c>
      <c r="J266" t="s">
        <v>61</v>
      </c>
      <c r="K266">
        <v>2.2000000000000002</v>
      </c>
      <c r="L266">
        <f>ABS(Tabela4[[#This Row],[Quantidade]]*Tabela4[[#This Row],[Valor Unitario]])</f>
        <v>81.400000000000006</v>
      </c>
      <c r="M266" t="s">
        <v>1588</v>
      </c>
    </row>
    <row r="267" spans="1:13" hidden="1" x14ac:dyDescent="0.25">
      <c r="A267" s="17">
        <v>46100</v>
      </c>
      <c r="B267" t="s">
        <v>390</v>
      </c>
      <c r="C267">
        <v>261</v>
      </c>
      <c r="D267">
        <v>2005</v>
      </c>
      <c r="E267" t="s">
        <v>71</v>
      </c>
      <c r="F267" t="s">
        <v>229</v>
      </c>
      <c r="G267" t="s">
        <v>230</v>
      </c>
      <c r="H267">
        <v>-47</v>
      </c>
      <c r="I267">
        <f>SUMIF($D$2:D267, D267, $H$2:H267)</f>
        <v>27</v>
      </c>
      <c r="J267" t="s">
        <v>61</v>
      </c>
      <c r="K267">
        <v>3450</v>
      </c>
      <c r="L267">
        <f>ABS(Tabela4[[#This Row],[Quantidade]]*Tabela4[[#This Row],[Valor Unitario]])</f>
        <v>162150</v>
      </c>
      <c r="M267" t="s">
        <v>300</v>
      </c>
    </row>
    <row r="268" spans="1:13" hidden="1" x14ac:dyDescent="0.25">
      <c r="A268" s="17">
        <v>46100</v>
      </c>
      <c r="B268" t="s">
        <v>435</v>
      </c>
      <c r="C268">
        <v>261</v>
      </c>
      <c r="D268">
        <v>2007</v>
      </c>
      <c r="E268" t="s">
        <v>76</v>
      </c>
      <c r="F268" t="s">
        <v>229</v>
      </c>
      <c r="G268" t="s">
        <v>230</v>
      </c>
      <c r="H268">
        <v>-97</v>
      </c>
      <c r="I268">
        <f>SUMIF($D$2:D268, D268, $H$2:H268)</f>
        <v>82</v>
      </c>
      <c r="J268" t="s">
        <v>61</v>
      </c>
      <c r="K268">
        <v>1980</v>
      </c>
      <c r="L268">
        <f>ABS(Tabela4[[#This Row],[Quantidade]]*Tabela4[[#This Row],[Valor Unitario]])</f>
        <v>192060</v>
      </c>
      <c r="M268" t="s">
        <v>436</v>
      </c>
    </row>
    <row r="269" spans="1:13" hidden="1" x14ac:dyDescent="0.25">
      <c r="A269" s="17">
        <v>46100</v>
      </c>
      <c r="B269" t="s">
        <v>819</v>
      </c>
      <c r="C269">
        <v>261</v>
      </c>
      <c r="D269">
        <v>3001</v>
      </c>
      <c r="E269" t="s">
        <v>101</v>
      </c>
      <c r="F269" t="s">
        <v>229</v>
      </c>
      <c r="G269" t="s">
        <v>230</v>
      </c>
      <c r="H269">
        <v>-12</v>
      </c>
      <c r="I269">
        <f>SUMIF($D$2:D269, D269, $H$2:H269)</f>
        <v>170</v>
      </c>
      <c r="J269" t="s">
        <v>103</v>
      </c>
      <c r="K269">
        <v>320</v>
      </c>
      <c r="L269">
        <f>ABS(Tabela4[[#This Row],[Quantidade]]*Tabela4[[#This Row],[Valor Unitario]])</f>
        <v>3840</v>
      </c>
      <c r="M269" t="s">
        <v>820</v>
      </c>
    </row>
    <row r="270" spans="1:13" hidden="1" x14ac:dyDescent="0.25">
      <c r="A270" s="17">
        <v>46100</v>
      </c>
      <c r="B270" t="s">
        <v>851</v>
      </c>
      <c r="C270">
        <v>261</v>
      </c>
      <c r="D270">
        <v>3002</v>
      </c>
      <c r="E270" t="s">
        <v>105</v>
      </c>
      <c r="F270" t="s">
        <v>229</v>
      </c>
      <c r="G270" t="s">
        <v>230</v>
      </c>
      <c r="H270">
        <v>-9</v>
      </c>
      <c r="I270">
        <f>SUMIF($D$2:D270, D270, $H$2:H270)</f>
        <v>20</v>
      </c>
      <c r="J270" t="s">
        <v>61</v>
      </c>
      <c r="K270">
        <v>95</v>
      </c>
      <c r="L270">
        <f>ABS(Tabela4[[#This Row],[Quantidade]]*Tabela4[[#This Row],[Valor Unitario]])</f>
        <v>855</v>
      </c>
      <c r="M270" t="s">
        <v>852</v>
      </c>
    </row>
    <row r="271" spans="1:13" hidden="1" x14ac:dyDescent="0.25">
      <c r="A271" s="17">
        <v>46100</v>
      </c>
      <c r="B271" t="s">
        <v>979</v>
      </c>
      <c r="C271">
        <v>261</v>
      </c>
      <c r="D271">
        <v>4002</v>
      </c>
      <c r="E271" t="s">
        <v>114</v>
      </c>
      <c r="F271" t="s">
        <v>229</v>
      </c>
      <c r="G271" t="s">
        <v>230</v>
      </c>
      <c r="H271">
        <v>-41</v>
      </c>
      <c r="I271">
        <f>SUMIF($D$2:D271, D271, $H$2:H271)</f>
        <v>-23</v>
      </c>
      <c r="J271" t="s">
        <v>61</v>
      </c>
      <c r="K271">
        <v>4100</v>
      </c>
      <c r="L271">
        <f>ABS(Tabela4[[#This Row],[Quantidade]]*Tabela4[[#This Row],[Valor Unitario]])</f>
        <v>168100</v>
      </c>
      <c r="M271" t="s">
        <v>980</v>
      </c>
    </row>
    <row r="272" spans="1:13" hidden="1" x14ac:dyDescent="0.25">
      <c r="A272" s="17">
        <v>46100</v>
      </c>
      <c r="B272" t="s">
        <v>1139</v>
      </c>
      <c r="C272">
        <v>261</v>
      </c>
      <c r="D272">
        <v>5005</v>
      </c>
      <c r="E272" t="s">
        <v>125</v>
      </c>
      <c r="F272" t="s">
        <v>229</v>
      </c>
      <c r="G272" t="s">
        <v>230</v>
      </c>
      <c r="H272">
        <v>-12</v>
      </c>
      <c r="I272">
        <f>SUMIF($D$2:D272, D272, $H$2:H272)</f>
        <v>33</v>
      </c>
      <c r="J272" t="s">
        <v>61</v>
      </c>
      <c r="K272">
        <v>780</v>
      </c>
      <c r="L272">
        <f>ABS(Tabela4[[#This Row],[Quantidade]]*Tabela4[[#This Row],[Valor Unitario]])</f>
        <v>9360</v>
      </c>
      <c r="M272" t="s">
        <v>1140</v>
      </c>
    </row>
    <row r="273" spans="1:13" hidden="1" x14ac:dyDescent="0.25">
      <c r="A273" s="17">
        <v>46100</v>
      </c>
      <c r="B273" t="s">
        <v>1619</v>
      </c>
      <c r="C273">
        <v>261</v>
      </c>
      <c r="D273">
        <v>9004</v>
      </c>
      <c r="E273" t="s">
        <v>161</v>
      </c>
      <c r="F273" t="s">
        <v>229</v>
      </c>
      <c r="G273" t="s">
        <v>230</v>
      </c>
      <c r="H273">
        <v>-38</v>
      </c>
      <c r="I273">
        <f>SUMIF($D$2:D273, D273, $H$2:H273)</f>
        <v>60</v>
      </c>
      <c r="J273" t="s">
        <v>61</v>
      </c>
      <c r="K273">
        <v>45</v>
      </c>
      <c r="L273">
        <f>ABS(Tabela4[[#This Row],[Quantidade]]*Tabela4[[#This Row],[Valor Unitario]])</f>
        <v>1710</v>
      </c>
      <c r="M273" t="s">
        <v>1620</v>
      </c>
    </row>
    <row r="274" spans="1:13" hidden="1" x14ac:dyDescent="0.25">
      <c r="A274" s="17">
        <v>46101</v>
      </c>
      <c r="B274" t="s">
        <v>1235</v>
      </c>
      <c r="C274">
        <v>261</v>
      </c>
      <c r="D274">
        <v>6001</v>
      </c>
      <c r="E274" t="s">
        <v>131</v>
      </c>
      <c r="F274" t="s">
        <v>229</v>
      </c>
      <c r="G274" t="s">
        <v>230</v>
      </c>
      <c r="H274">
        <v>-70</v>
      </c>
      <c r="I274">
        <f>SUMIF($D$2:D274, D274, $H$2:H274)</f>
        <v>-41</v>
      </c>
      <c r="J274" t="s">
        <v>61</v>
      </c>
      <c r="K274">
        <v>15800</v>
      </c>
      <c r="L274">
        <f>ABS(Tabela4[[#This Row],[Quantidade]]*Tabela4[[#This Row],[Valor Unitario]])</f>
        <v>1106000</v>
      </c>
      <c r="M274" t="s">
        <v>1236</v>
      </c>
    </row>
    <row r="275" spans="1:13" hidden="1" x14ac:dyDescent="0.25">
      <c r="A275" s="17">
        <v>46102</v>
      </c>
      <c r="B275" t="s">
        <v>1491</v>
      </c>
      <c r="C275">
        <v>261</v>
      </c>
      <c r="D275">
        <v>8002</v>
      </c>
      <c r="E275" t="s">
        <v>151</v>
      </c>
      <c r="F275" t="s">
        <v>229</v>
      </c>
      <c r="G275" t="s">
        <v>230</v>
      </c>
      <c r="H275">
        <v>-30</v>
      </c>
      <c r="I275">
        <f>SUMIF($D$2:D275, D275, $H$2:H275)</f>
        <v>-39</v>
      </c>
      <c r="J275" t="s">
        <v>152</v>
      </c>
      <c r="K275">
        <v>32</v>
      </c>
      <c r="L275">
        <f>ABS(Tabela4[[#This Row],[Quantidade]]*Tabela4[[#This Row],[Valor Unitario]])</f>
        <v>960</v>
      </c>
      <c r="M275" t="s">
        <v>1492</v>
      </c>
    </row>
    <row r="276" spans="1:13" hidden="1" x14ac:dyDescent="0.25">
      <c r="A276" s="17">
        <v>46102</v>
      </c>
      <c r="B276" t="s">
        <v>1555</v>
      </c>
      <c r="C276">
        <v>261</v>
      </c>
      <c r="D276">
        <v>9002</v>
      </c>
      <c r="E276" t="s">
        <v>157</v>
      </c>
      <c r="F276" t="s">
        <v>229</v>
      </c>
      <c r="G276" t="s">
        <v>230</v>
      </c>
      <c r="H276">
        <v>-3</v>
      </c>
      <c r="I276">
        <f>SUMIF($D$2:D276, D276, $H$2:H276)</f>
        <v>74</v>
      </c>
      <c r="J276" t="s">
        <v>61</v>
      </c>
      <c r="K276">
        <v>6.5</v>
      </c>
      <c r="L276">
        <f>ABS(Tabela4[[#This Row],[Quantidade]]*Tabela4[[#This Row],[Valor Unitario]])</f>
        <v>19.5</v>
      </c>
      <c r="M276" t="s">
        <v>1556</v>
      </c>
    </row>
    <row r="277" spans="1:13" hidden="1" x14ac:dyDescent="0.25">
      <c r="A277" s="17">
        <v>46103</v>
      </c>
      <c r="B277" t="s">
        <v>1331</v>
      </c>
      <c r="C277">
        <v>261</v>
      </c>
      <c r="D277">
        <v>6004</v>
      </c>
      <c r="E277" t="s">
        <v>138</v>
      </c>
      <c r="F277" t="s">
        <v>229</v>
      </c>
      <c r="G277" t="s">
        <v>230</v>
      </c>
      <c r="H277">
        <v>-11</v>
      </c>
      <c r="I277">
        <f>SUMIF($D$2:D277, D277, $H$2:H277)</f>
        <v>192</v>
      </c>
      <c r="J277" t="s">
        <v>61</v>
      </c>
      <c r="K277">
        <v>2650</v>
      </c>
      <c r="L277">
        <f>ABS(Tabela4[[#This Row],[Quantidade]]*Tabela4[[#This Row],[Valor Unitario]])</f>
        <v>29150</v>
      </c>
      <c r="M277" t="s">
        <v>1332</v>
      </c>
    </row>
    <row r="278" spans="1:13" hidden="1" x14ac:dyDescent="0.25">
      <c r="A278" s="17">
        <v>46103</v>
      </c>
      <c r="B278" t="s">
        <v>1427</v>
      </c>
      <c r="C278">
        <v>261</v>
      </c>
      <c r="D278">
        <v>7003</v>
      </c>
      <c r="E278" t="s">
        <v>145</v>
      </c>
      <c r="F278" t="s">
        <v>229</v>
      </c>
      <c r="G278" t="s">
        <v>230</v>
      </c>
      <c r="H278">
        <v>-38</v>
      </c>
      <c r="I278">
        <f>SUMIF($D$2:D278, D278, $H$2:H278)</f>
        <v>53</v>
      </c>
      <c r="J278" t="s">
        <v>61</v>
      </c>
      <c r="K278">
        <v>130</v>
      </c>
      <c r="L278">
        <f>ABS(Tabela4[[#This Row],[Quantidade]]*Tabela4[[#This Row],[Valor Unitario]])</f>
        <v>4940</v>
      </c>
      <c r="M278" t="s">
        <v>1428</v>
      </c>
    </row>
    <row r="279" spans="1:13" hidden="1" x14ac:dyDescent="0.25">
      <c r="A279" s="17">
        <v>46103</v>
      </c>
      <c r="B279" t="s">
        <v>1459</v>
      </c>
      <c r="C279">
        <v>261</v>
      </c>
      <c r="D279">
        <v>8001</v>
      </c>
      <c r="E279" t="s">
        <v>147</v>
      </c>
      <c r="F279" t="s">
        <v>229</v>
      </c>
      <c r="G279" t="s">
        <v>230</v>
      </c>
      <c r="H279">
        <v>-41</v>
      </c>
      <c r="I279">
        <f>SUMIF($D$2:D279, D279, $H$2:H279)</f>
        <v>-60</v>
      </c>
      <c r="J279" t="s">
        <v>149</v>
      </c>
      <c r="K279">
        <v>28</v>
      </c>
      <c r="L279">
        <f>ABS(Tabela4[[#This Row],[Quantidade]]*Tabela4[[#This Row],[Valor Unitario]])</f>
        <v>1148</v>
      </c>
      <c r="M279" t="s">
        <v>1460</v>
      </c>
    </row>
    <row r="280" spans="1:13" hidden="1" x14ac:dyDescent="0.25">
      <c r="A280" s="17">
        <v>46103</v>
      </c>
      <c r="B280" t="s">
        <v>1523</v>
      </c>
      <c r="C280">
        <v>261</v>
      </c>
      <c r="D280">
        <v>9001</v>
      </c>
      <c r="E280" t="s">
        <v>154</v>
      </c>
      <c r="F280" t="s">
        <v>229</v>
      </c>
      <c r="G280" t="s">
        <v>230</v>
      </c>
      <c r="H280">
        <v>-49</v>
      </c>
      <c r="I280">
        <f>SUMIF($D$2:D280, D280, $H$2:H280)</f>
        <v>86</v>
      </c>
      <c r="J280" t="s">
        <v>61</v>
      </c>
      <c r="K280">
        <v>18</v>
      </c>
      <c r="L280">
        <f>ABS(Tabela4[[#This Row],[Quantidade]]*Tabela4[[#This Row],[Valor Unitario]])</f>
        <v>882</v>
      </c>
      <c r="M280" t="s">
        <v>1524</v>
      </c>
    </row>
    <row r="281" spans="1:13" hidden="1" x14ac:dyDescent="0.25">
      <c r="A281" s="17">
        <v>46104</v>
      </c>
      <c r="B281" t="s">
        <v>374</v>
      </c>
      <c r="C281">
        <v>261</v>
      </c>
      <c r="D281">
        <v>2004</v>
      </c>
      <c r="E281" t="s">
        <v>69</v>
      </c>
      <c r="F281" t="s">
        <v>229</v>
      </c>
      <c r="G281" t="s">
        <v>230</v>
      </c>
      <c r="H281">
        <v>-50</v>
      </c>
      <c r="I281">
        <f>SUMIF($D$2:D281, D281, $H$2:H281)</f>
        <v>19</v>
      </c>
      <c r="J281" t="s">
        <v>61</v>
      </c>
      <c r="K281">
        <v>11800</v>
      </c>
      <c r="L281">
        <f>ABS(Tabela4[[#This Row],[Quantidade]]*Tabela4[[#This Row],[Valor Unitario]])</f>
        <v>590000</v>
      </c>
      <c r="M281" t="s">
        <v>284</v>
      </c>
    </row>
    <row r="282" spans="1:13" hidden="1" x14ac:dyDescent="0.25">
      <c r="A282" s="17">
        <v>46104</v>
      </c>
      <c r="B282" t="s">
        <v>531</v>
      </c>
      <c r="C282">
        <v>261</v>
      </c>
      <c r="D282">
        <v>2010</v>
      </c>
      <c r="E282" t="s">
        <v>82</v>
      </c>
      <c r="F282" t="s">
        <v>229</v>
      </c>
      <c r="G282" t="s">
        <v>230</v>
      </c>
      <c r="H282">
        <v>-9</v>
      </c>
      <c r="I282">
        <f>SUMIF($D$2:D282, D282, $H$2:H282)</f>
        <v>-42</v>
      </c>
      <c r="J282" t="s">
        <v>61</v>
      </c>
      <c r="K282">
        <v>2150</v>
      </c>
      <c r="L282">
        <f>ABS(Tabela4[[#This Row],[Quantidade]]*Tabela4[[#This Row],[Valor Unitario]])</f>
        <v>19350</v>
      </c>
      <c r="M282" t="s">
        <v>532</v>
      </c>
    </row>
    <row r="283" spans="1:13" hidden="1" x14ac:dyDescent="0.25">
      <c r="A283" s="17">
        <v>46104</v>
      </c>
      <c r="B283" t="s">
        <v>883</v>
      </c>
      <c r="C283">
        <v>261</v>
      </c>
      <c r="D283">
        <v>3003</v>
      </c>
      <c r="E283" t="s">
        <v>107</v>
      </c>
      <c r="F283" t="s">
        <v>229</v>
      </c>
      <c r="G283" t="s">
        <v>230</v>
      </c>
      <c r="H283">
        <v>-50</v>
      </c>
      <c r="I283">
        <f>SUMIF($D$2:D283, D283, $H$2:H283)</f>
        <v>43</v>
      </c>
      <c r="J283" t="s">
        <v>61</v>
      </c>
      <c r="K283">
        <v>2450</v>
      </c>
      <c r="L283">
        <f>ABS(Tabela4[[#This Row],[Quantidade]]*Tabela4[[#This Row],[Valor Unitario]])</f>
        <v>122500</v>
      </c>
      <c r="M283" t="s">
        <v>884</v>
      </c>
    </row>
    <row r="284" spans="1:13" hidden="1" x14ac:dyDescent="0.25">
      <c r="A284" s="17">
        <v>46106</v>
      </c>
      <c r="B284" t="s">
        <v>947</v>
      </c>
      <c r="C284">
        <v>261</v>
      </c>
      <c r="D284">
        <v>4001</v>
      </c>
      <c r="E284" t="s">
        <v>111</v>
      </c>
      <c r="F284" t="s">
        <v>229</v>
      </c>
      <c r="G284" t="s">
        <v>230</v>
      </c>
      <c r="H284">
        <v>-36</v>
      </c>
      <c r="I284">
        <f>SUMIF($D$2:D284, D284, $H$2:H284)</f>
        <v>42</v>
      </c>
      <c r="J284" t="s">
        <v>61</v>
      </c>
      <c r="K284">
        <v>3200</v>
      </c>
      <c r="L284">
        <f>ABS(Tabela4[[#This Row],[Quantidade]]*Tabela4[[#This Row],[Valor Unitario]])</f>
        <v>115200</v>
      </c>
      <c r="M284" t="s">
        <v>948</v>
      </c>
    </row>
    <row r="285" spans="1:13" hidden="1" x14ac:dyDescent="0.25">
      <c r="A285" s="17">
        <v>46108</v>
      </c>
      <c r="B285" t="s">
        <v>915</v>
      </c>
      <c r="C285">
        <v>261</v>
      </c>
      <c r="D285">
        <v>3004</v>
      </c>
      <c r="E285" t="s">
        <v>109</v>
      </c>
      <c r="F285" t="s">
        <v>229</v>
      </c>
      <c r="G285" t="s">
        <v>230</v>
      </c>
      <c r="H285">
        <v>-13</v>
      </c>
      <c r="I285">
        <f>SUMIF($D$2:D285, D285, $H$2:H285)</f>
        <v>68</v>
      </c>
      <c r="J285" t="s">
        <v>61</v>
      </c>
      <c r="K285">
        <v>2180</v>
      </c>
      <c r="L285">
        <f>ABS(Tabela4[[#This Row],[Quantidade]]*Tabela4[[#This Row],[Valor Unitario]])</f>
        <v>28340</v>
      </c>
      <c r="M285" t="s">
        <v>916</v>
      </c>
    </row>
    <row r="286" spans="1:13" hidden="1" x14ac:dyDescent="0.25">
      <c r="A286" s="17">
        <v>46108</v>
      </c>
      <c r="B286" t="s">
        <v>1267</v>
      </c>
      <c r="C286">
        <v>261</v>
      </c>
      <c r="D286">
        <v>6002</v>
      </c>
      <c r="E286" t="s">
        <v>134</v>
      </c>
      <c r="F286" t="s">
        <v>229</v>
      </c>
      <c r="G286" t="s">
        <v>230</v>
      </c>
      <c r="H286">
        <v>-44</v>
      </c>
      <c r="I286">
        <f>SUMIF($D$2:D286, D286, $H$2:H286)</f>
        <v>19</v>
      </c>
      <c r="J286" t="s">
        <v>61</v>
      </c>
      <c r="K286">
        <v>6900</v>
      </c>
      <c r="L286">
        <f>ABS(Tabela4[[#This Row],[Quantidade]]*Tabela4[[#This Row],[Valor Unitario]])</f>
        <v>303600</v>
      </c>
      <c r="M286" t="s">
        <v>1268</v>
      </c>
    </row>
    <row r="287" spans="1:13" hidden="1" x14ac:dyDescent="0.25">
      <c r="A287" s="17">
        <v>46108</v>
      </c>
      <c r="B287" t="s">
        <v>1651</v>
      </c>
      <c r="C287">
        <v>261</v>
      </c>
      <c r="D287">
        <v>9005</v>
      </c>
      <c r="E287" t="s">
        <v>163</v>
      </c>
      <c r="F287" t="s">
        <v>229</v>
      </c>
      <c r="G287" t="s">
        <v>230</v>
      </c>
      <c r="H287">
        <v>-50</v>
      </c>
      <c r="I287">
        <f>SUMIF($D$2:D287, D287, $H$2:H287)</f>
        <v>28</v>
      </c>
      <c r="J287" t="s">
        <v>61</v>
      </c>
      <c r="K287">
        <v>8.9</v>
      </c>
      <c r="L287">
        <f>ABS(Tabela4[[#This Row],[Quantidade]]*Tabela4[[#This Row],[Valor Unitario]])</f>
        <v>445</v>
      </c>
      <c r="M287" t="s">
        <v>1652</v>
      </c>
    </row>
    <row r="288" spans="1:13" hidden="1" x14ac:dyDescent="0.25">
      <c r="A288" s="17">
        <v>46109</v>
      </c>
      <c r="B288" t="s">
        <v>659</v>
      </c>
      <c r="C288">
        <v>261</v>
      </c>
      <c r="D288">
        <v>2357</v>
      </c>
      <c r="E288" t="s">
        <v>91</v>
      </c>
      <c r="F288" t="s">
        <v>229</v>
      </c>
      <c r="G288" t="s">
        <v>230</v>
      </c>
      <c r="H288">
        <v>-6</v>
      </c>
      <c r="I288">
        <f>SUMIF($D$2:D288, D288, $H$2:H288)</f>
        <v>38</v>
      </c>
      <c r="J288" t="s">
        <v>61</v>
      </c>
      <c r="K288">
        <v>210</v>
      </c>
      <c r="L288">
        <f>ABS(Tabela4[[#This Row],[Quantidade]]*Tabela4[[#This Row],[Valor Unitario]])</f>
        <v>1260</v>
      </c>
      <c r="M288" t="s">
        <v>660</v>
      </c>
    </row>
    <row r="289" spans="1:13" x14ac:dyDescent="0.25">
      <c r="A289" s="17">
        <v>46109</v>
      </c>
      <c r="B289" t="s">
        <v>723</v>
      </c>
      <c r="C289">
        <v>261</v>
      </c>
      <c r="D289">
        <v>2359</v>
      </c>
      <c r="E289" t="s">
        <v>95</v>
      </c>
      <c r="F289" t="s">
        <v>229</v>
      </c>
      <c r="G289" t="s">
        <v>230</v>
      </c>
      <c r="H289">
        <v>-12</v>
      </c>
      <c r="I289">
        <f>SUMIF($D$2:D289, D289, $H$2:H289)</f>
        <v>30</v>
      </c>
      <c r="J289" t="s">
        <v>61</v>
      </c>
      <c r="K289">
        <v>1240</v>
      </c>
      <c r="L289">
        <f>ABS(Tabela4[[#This Row],[Quantidade]]*Tabela4[[#This Row],[Valor Unitario]])</f>
        <v>14880</v>
      </c>
      <c r="M289" t="s">
        <v>724</v>
      </c>
    </row>
    <row r="290" spans="1:13" hidden="1" x14ac:dyDescent="0.25">
      <c r="A290" s="17">
        <v>46109</v>
      </c>
      <c r="B290" t="s">
        <v>1043</v>
      </c>
      <c r="C290">
        <v>261</v>
      </c>
      <c r="D290">
        <v>5002</v>
      </c>
      <c r="E290" t="s">
        <v>119</v>
      </c>
      <c r="F290" t="s">
        <v>229</v>
      </c>
      <c r="G290" t="s">
        <v>230</v>
      </c>
      <c r="H290">
        <v>-73</v>
      </c>
      <c r="I290">
        <f>SUMIF($D$2:D290, D290, $H$2:H290)</f>
        <v>58</v>
      </c>
      <c r="J290" t="s">
        <v>61</v>
      </c>
      <c r="K290">
        <v>17800</v>
      </c>
      <c r="L290">
        <f>ABS(Tabela4[[#This Row],[Quantidade]]*Tabela4[[#This Row],[Valor Unitario]])</f>
        <v>1299400</v>
      </c>
      <c r="M290" t="s">
        <v>1044</v>
      </c>
    </row>
    <row r="291" spans="1:13" hidden="1" x14ac:dyDescent="0.25">
      <c r="A291" s="17">
        <v>46110</v>
      </c>
      <c r="B291" t="s">
        <v>627</v>
      </c>
      <c r="C291">
        <v>261</v>
      </c>
      <c r="D291">
        <v>2356</v>
      </c>
      <c r="E291" t="s">
        <v>88</v>
      </c>
      <c r="F291" t="s">
        <v>229</v>
      </c>
      <c r="G291" t="s">
        <v>230</v>
      </c>
      <c r="H291">
        <v>-86</v>
      </c>
      <c r="I291">
        <f>SUMIF($D$2:D291, D291, $H$2:H291)</f>
        <v>12</v>
      </c>
      <c r="J291" t="s">
        <v>61</v>
      </c>
      <c r="K291">
        <v>145</v>
      </c>
      <c r="L291">
        <f>ABS(Tabela4[[#This Row],[Quantidade]]*Tabela4[[#This Row],[Valor Unitario]])</f>
        <v>12470</v>
      </c>
      <c r="M291" t="s">
        <v>628</v>
      </c>
    </row>
    <row r="292" spans="1:13" hidden="1" x14ac:dyDescent="0.25">
      <c r="A292" s="17">
        <v>46110</v>
      </c>
      <c r="B292" t="s">
        <v>1011</v>
      </c>
      <c r="C292">
        <v>261</v>
      </c>
      <c r="D292">
        <v>5001</v>
      </c>
      <c r="E292" t="s">
        <v>116</v>
      </c>
      <c r="F292" t="s">
        <v>229</v>
      </c>
      <c r="G292" t="s">
        <v>230</v>
      </c>
      <c r="H292">
        <v>-49</v>
      </c>
      <c r="I292">
        <f>SUMIF($D$2:D292, D292, $H$2:H292)</f>
        <v>66</v>
      </c>
      <c r="J292" t="s">
        <v>61</v>
      </c>
      <c r="K292">
        <v>32500</v>
      </c>
      <c r="L292">
        <f>ABS(Tabela4[[#This Row],[Quantidade]]*Tabela4[[#This Row],[Valor Unitario]])</f>
        <v>1592500</v>
      </c>
      <c r="M292" t="s">
        <v>1012</v>
      </c>
    </row>
    <row r="293" spans="1:13" hidden="1" x14ac:dyDescent="0.25">
      <c r="A293" s="17">
        <v>46110</v>
      </c>
      <c r="B293" t="s">
        <v>1075</v>
      </c>
      <c r="C293">
        <v>261</v>
      </c>
      <c r="D293">
        <v>5003</v>
      </c>
      <c r="E293" t="s">
        <v>121</v>
      </c>
      <c r="F293" t="s">
        <v>229</v>
      </c>
      <c r="G293" t="s">
        <v>230</v>
      </c>
      <c r="H293">
        <v>-85</v>
      </c>
      <c r="I293">
        <f>SUMIF($D$2:D293, D293, $H$2:H293)</f>
        <v>48</v>
      </c>
      <c r="J293" t="s">
        <v>61</v>
      </c>
      <c r="K293">
        <v>8900</v>
      </c>
      <c r="L293">
        <f>ABS(Tabela4[[#This Row],[Quantidade]]*Tabela4[[#This Row],[Valor Unitario]])</f>
        <v>756500</v>
      </c>
      <c r="M293" t="s">
        <v>1076</v>
      </c>
    </row>
    <row r="294" spans="1:13" hidden="1" x14ac:dyDescent="0.25">
      <c r="A294" s="17">
        <v>46110</v>
      </c>
      <c r="B294" t="s">
        <v>1363</v>
      </c>
      <c r="C294">
        <v>261</v>
      </c>
      <c r="D294">
        <v>7001</v>
      </c>
      <c r="E294" t="s">
        <v>140</v>
      </c>
      <c r="F294" t="s">
        <v>229</v>
      </c>
      <c r="G294" t="s">
        <v>230</v>
      </c>
      <c r="H294">
        <v>-66</v>
      </c>
      <c r="I294">
        <f>SUMIF($D$2:D294, D294, $H$2:H294)</f>
        <v>-14</v>
      </c>
      <c r="J294" t="s">
        <v>61</v>
      </c>
      <c r="K294">
        <v>210</v>
      </c>
      <c r="L294">
        <f>ABS(Tabela4[[#This Row],[Quantidade]]*Tabela4[[#This Row],[Valor Unitario]])</f>
        <v>13860</v>
      </c>
      <c r="M294" t="s">
        <v>1364</v>
      </c>
    </row>
    <row r="295" spans="1:13" hidden="1" x14ac:dyDescent="0.25">
      <c r="A295" s="17">
        <v>46111</v>
      </c>
      <c r="B295" t="s">
        <v>595</v>
      </c>
      <c r="C295">
        <v>261</v>
      </c>
      <c r="D295">
        <v>2012</v>
      </c>
      <c r="E295" t="s">
        <v>86</v>
      </c>
      <c r="F295" t="s">
        <v>229</v>
      </c>
      <c r="G295" t="s">
        <v>230</v>
      </c>
      <c r="H295">
        <v>-19</v>
      </c>
      <c r="I295">
        <f>SUMIF($D$2:D295, D295, $H$2:H295)</f>
        <v>89</v>
      </c>
      <c r="J295" t="s">
        <v>61</v>
      </c>
      <c r="K295">
        <v>5400</v>
      </c>
      <c r="L295">
        <f>ABS(Tabela4[[#This Row],[Quantidade]]*Tabela4[[#This Row],[Valor Unitario]])</f>
        <v>102600</v>
      </c>
      <c r="M295" t="s">
        <v>596</v>
      </c>
    </row>
    <row r="296" spans="1:13" hidden="1" x14ac:dyDescent="0.25">
      <c r="A296" s="17">
        <v>46111</v>
      </c>
      <c r="B296" t="s">
        <v>755</v>
      </c>
      <c r="C296">
        <v>261</v>
      </c>
      <c r="D296">
        <v>2360</v>
      </c>
      <c r="E296" t="s">
        <v>97</v>
      </c>
      <c r="F296" t="s">
        <v>229</v>
      </c>
      <c r="G296" t="s">
        <v>230</v>
      </c>
      <c r="H296">
        <v>-24</v>
      </c>
      <c r="I296">
        <f>SUMIF($D$2:D296, D296, $H$2:H296)</f>
        <v>22</v>
      </c>
      <c r="J296" t="s">
        <v>61</v>
      </c>
      <c r="K296">
        <v>2380</v>
      </c>
      <c r="L296">
        <f>ABS(Tabela4[[#This Row],[Quantidade]]*Tabela4[[#This Row],[Valor Unitario]])</f>
        <v>57120</v>
      </c>
      <c r="M296" t="s">
        <v>756</v>
      </c>
    </row>
    <row r="297" spans="1:13" hidden="1" x14ac:dyDescent="0.25">
      <c r="A297" s="17">
        <v>46112</v>
      </c>
      <c r="B297" t="s">
        <v>691</v>
      </c>
      <c r="C297">
        <v>261</v>
      </c>
      <c r="D297">
        <v>2358</v>
      </c>
      <c r="E297" t="s">
        <v>93</v>
      </c>
      <c r="F297" t="s">
        <v>229</v>
      </c>
      <c r="G297" t="s">
        <v>230</v>
      </c>
      <c r="H297">
        <v>-63</v>
      </c>
      <c r="I297">
        <f>SUMIF($D$2:D297, D297, $H$2:H297)</f>
        <v>-12</v>
      </c>
      <c r="J297" t="s">
        <v>61</v>
      </c>
      <c r="K297">
        <v>890</v>
      </c>
      <c r="L297">
        <f>ABS(Tabela4[[#This Row],[Quantidade]]*Tabela4[[#This Row],[Valor Unitario]])</f>
        <v>56070</v>
      </c>
      <c r="M297" t="s">
        <v>692</v>
      </c>
    </row>
    <row r="298" spans="1:13" hidden="1" x14ac:dyDescent="0.25">
      <c r="A298" s="17">
        <v>46112</v>
      </c>
      <c r="B298" t="s">
        <v>787</v>
      </c>
      <c r="C298">
        <v>261</v>
      </c>
      <c r="D298">
        <v>2361</v>
      </c>
      <c r="E298" t="s">
        <v>99</v>
      </c>
      <c r="F298" t="s">
        <v>229</v>
      </c>
      <c r="G298" t="s">
        <v>230</v>
      </c>
      <c r="H298">
        <v>-90</v>
      </c>
      <c r="I298">
        <f>SUMIF($D$2:D298, D298, $H$2:H298)</f>
        <v>-31</v>
      </c>
      <c r="J298" t="s">
        <v>61</v>
      </c>
      <c r="K298">
        <v>68</v>
      </c>
      <c r="L298">
        <f>ABS(Tabela4[[#This Row],[Quantidade]]*Tabela4[[#This Row],[Valor Unitario]])</f>
        <v>6120</v>
      </c>
      <c r="M298" t="s">
        <v>788</v>
      </c>
    </row>
    <row r="299" spans="1:13" hidden="1" x14ac:dyDescent="0.25">
      <c r="A299" s="17">
        <v>46112</v>
      </c>
      <c r="B299" t="s">
        <v>1107</v>
      </c>
      <c r="C299">
        <v>261</v>
      </c>
      <c r="D299">
        <v>5004</v>
      </c>
      <c r="E299" t="s">
        <v>123</v>
      </c>
      <c r="F299" t="s">
        <v>229</v>
      </c>
      <c r="G299" t="s">
        <v>230</v>
      </c>
      <c r="H299">
        <v>-19</v>
      </c>
      <c r="I299">
        <f>SUMIF($D$2:D299, D299, $H$2:H299)</f>
        <v>17</v>
      </c>
      <c r="J299" t="s">
        <v>61</v>
      </c>
      <c r="K299">
        <v>1350</v>
      </c>
      <c r="L299">
        <f>ABS(Tabela4[[#This Row],[Quantidade]]*Tabela4[[#This Row],[Valor Unitario]])</f>
        <v>25650</v>
      </c>
      <c r="M299" t="s">
        <v>1108</v>
      </c>
    </row>
    <row r="300" spans="1:13" hidden="1" x14ac:dyDescent="0.25">
      <c r="A300" s="17">
        <v>46112</v>
      </c>
      <c r="B300" t="s">
        <v>1203</v>
      </c>
      <c r="C300">
        <v>261</v>
      </c>
      <c r="D300">
        <v>5007</v>
      </c>
      <c r="E300" t="s">
        <v>129</v>
      </c>
      <c r="F300" t="s">
        <v>229</v>
      </c>
      <c r="G300" t="s">
        <v>230</v>
      </c>
      <c r="H300">
        <v>-86</v>
      </c>
      <c r="I300">
        <f>SUMIF($D$2:D300, D300, $H$2:H300)</f>
        <v>-141</v>
      </c>
      <c r="J300" t="s">
        <v>61</v>
      </c>
      <c r="K300">
        <v>340</v>
      </c>
      <c r="L300">
        <f>ABS(Tabela4[[#This Row],[Quantidade]]*Tabela4[[#This Row],[Valor Unitario]])</f>
        <v>29240</v>
      </c>
      <c r="M300" t="s">
        <v>1204</v>
      </c>
    </row>
    <row r="301" spans="1:13" hidden="1" x14ac:dyDescent="0.25">
      <c r="A301" s="17">
        <v>46113</v>
      </c>
      <c r="B301" t="s">
        <v>375</v>
      </c>
      <c r="C301">
        <v>101</v>
      </c>
      <c r="D301">
        <v>2004</v>
      </c>
      <c r="E301" t="s">
        <v>69</v>
      </c>
      <c r="F301" t="s">
        <v>229</v>
      </c>
      <c r="G301" t="s">
        <v>230</v>
      </c>
      <c r="H301">
        <v>8</v>
      </c>
      <c r="I301">
        <f>SUMIF($D$2:D301, D301, $H$2:H301)</f>
        <v>27</v>
      </c>
      <c r="J301" t="s">
        <v>61</v>
      </c>
      <c r="K301">
        <v>11800</v>
      </c>
      <c r="L301">
        <f>ABS(Tabela4[[#This Row],[Quantidade]]*Tabela4[[#This Row],[Valor Unitario]])</f>
        <v>94400</v>
      </c>
      <c r="M301" t="s">
        <v>285</v>
      </c>
    </row>
    <row r="302" spans="1:13" hidden="1" x14ac:dyDescent="0.25">
      <c r="A302" s="17">
        <v>46113</v>
      </c>
      <c r="B302" t="s">
        <v>821</v>
      </c>
      <c r="C302">
        <v>101</v>
      </c>
      <c r="D302">
        <v>3001</v>
      </c>
      <c r="E302" t="s">
        <v>101</v>
      </c>
      <c r="F302" t="s">
        <v>229</v>
      </c>
      <c r="G302" t="s">
        <v>230</v>
      </c>
      <c r="H302">
        <v>55</v>
      </c>
      <c r="I302">
        <f>SUMIF($D$2:D302, D302, $H$2:H302)</f>
        <v>225</v>
      </c>
      <c r="J302" t="s">
        <v>103</v>
      </c>
      <c r="K302">
        <v>320</v>
      </c>
      <c r="L302">
        <f>ABS(Tabela4[[#This Row],[Quantidade]]*Tabela4[[#This Row],[Valor Unitario]])</f>
        <v>17600</v>
      </c>
      <c r="M302" t="s">
        <v>822</v>
      </c>
    </row>
    <row r="303" spans="1:13" hidden="1" x14ac:dyDescent="0.25">
      <c r="A303" s="17">
        <v>46113</v>
      </c>
      <c r="B303" t="s">
        <v>1109</v>
      </c>
      <c r="C303">
        <v>101</v>
      </c>
      <c r="D303">
        <v>5004</v>
      </c>
      <c r="E303" t="s">
        <v>123</v>
      </c>
      <c r="F303" t="s">
        <v>229</v>
      </c>
      <c r="G303" t="s">
        <v>230</v>
      </c>
      <c r="H303">
        <v>84</v>
      </c>
      <c r="I303">
        <f>SUMIF($D$2:D303, D303, $H$2:H303)</f>
        <v>101</v>
      </c>
      <c r="J303" t="s">
        <v>61</v>
      </c>
      <c r="K303">
        <v>1350</v>
      </c>
      <c r="L303">
        <f>ABS(Tabela4[[#This Row],[Quantidade]]*Tabela4[[#This Row],[Valor Unitario]])</f>
        <v>113400</v>
      </c>
      <c r="M303" t="s">
        <v>1110</v>
      </c>
    </row>
    <row r="304" spans="1:13" hidden="1" x14ac:dyDescent="0.25">
      <c r="A304" s="17">
        <v>46113</v>
      </c>
      <c r="B304" t="s">
        <v>1173</v>
      </c>
      <c r="C304">
        <v>101</v>
      </c>
      <c r="D304">
        <v>5006</v>
      </c>
      <c r="E304" t="s">
        <v>127</v>
      </c>
      <c r="F304" t="s">
        <v>229</v>
      </c>
      <c r="G304" t="s">
        <v>230</v>
      </c>
      <c r="H304">
        <v>99</v>
      </c>
      <c r="I304">
        <f>SUMIF($D$2:D304, D304, $H$2:H304)</f>
        <v>100</v>
      </c>
      <c r="J304" t="s">
        <v>103</v>
      </c>
      <c r="K304">
        <v>22</v>
      </c>
      <c r="L304">
        <f>ABS(Tabela4[[#This Row],[Quantidade]]*Tabela4[[#This Row],[Valor Unitario]])</f>
        <v>2178</v>
      </c>
      <c r="M304" t="s">
        <v>1174</v>
      </c>
    </row>
    <row r="305" spans="1:13" hidden="1" x14ac:dyDescent="0.25">
      <c r="A305" s="17">
        <v>46114</v>
      </c>
      <c r="B305" t="s">
        <v>917</v>
      </c>
      <c r="C305">
        <v>101</v>
      </c>
      <c r="D305">
        <v>3004</v>
      </c>
      <c r="E305" t="s">
        <v>109</v>
      </c>
      <c r="F305" t="s">
        <v>229</v>
      </c>
      <c r="G305" t="s">
        <v>230</v>
      </c>
      <c r="H305">
        <v>92</v>
      </c>
      <c r="I305">
        <f>SUMIF($D$2:D305, D305, $H$2:H305)</f>
        <v>160</v>
      </c>
      <c r="J305" t="s">
        <v>61</v>
      </c>
      <c r="K305">
        <v>2180</v>
      </c>
      <c r="L305">
        <f>ABS(Tabela4[[#This Row],[Quantidade]]*Tabela4[[#This Row],[Valor Unitario]])</f>
        <v>200560</v>
      </c>
      <c r="M305" t="s">
        <v>918</v>
      </c>
    </row>
    <row r="306" spans="1:13" hidden="1" x14ac:dyDescent="0.25">
      <c r="A306" s="17">
        <v>46115</v>
      </c>
      <c r="B306" t="s">
        <v>437</v>
      </c>
      <c r="C306">
        <v>101</v>
      </c>
      <c r="D306">
        <v>2007</v>
      </c>
      <c r="E306" t="s">
        <v>76</v>
      </c>
      <c r="F306" t="s">
        <v>229</v>
      </c>
      <c r="G306" t="s">
        <v>230</v>
      </c>
      <c r="H306">
        <v>44</v>
      </c>
      <c r="I306">
        <f>SUMIF($D$2:D306, D306, $H$2:H306)</f>
        <v>126</v>
      </c>
      <c r="J306" t="s">
        <v>61</v>
      </c>
      <c r="K306">
        <v>1980</v>
      </c>
      <c r="L306">
        <f>ABS(Tabela4[[#This Row],[Quantidade]]*Tabela4[[#This Row],[Valor Unitario]])</f>
        <v>87120</v>
      </c>
      <c r="M306" t="s">
        <v>438</v>
      </c>
    </row>
    <row r="307" spans="1:13" hidden="1" x14ac:dyDescent="0.25">
      <c r="A307" s="17">
        <v>46115</v>
      </c>
      <c r="B307" t="s">
        <v>533</v>
      </c>
      <c r="C307">
        <v>101</v>
      </c>
      <c r="D307">
        <v>2010</v>
      </c>
      <c r="E307" t="s">
        <v>82</v>
      </c>
      <c r="F307" t="s">
        <v>229</v>
      </c>
      <c r="G307" t="s">
        <v>230</v>
      </c>
      <c r="H307">
        <v>48</v>
      </c>
      <c r="I307">
        <f>SUMIF($D$2:D307, D307, $H$2:H307)</f>
        <v>6</v>
      </c>
      <c r="J307" t="s">
        <v>61</v>
      </c>
      <c r="K307">
        <v>2150</v>
      </c>
      <c r="L307">
        <f>ABS(Tabela4[[#This Row],[Quantidade]]*Tabela4[[#This Row],[Valor Unitario]])</f>
        <v>103200</v>
      </c>
      <c r="M307" t="s">
        <v>534</v>
      </c>
    </row>
    <row r="308" spans="1:13" hidden="1" x14ac:dyDescent="0.25">
      <c r="A308" s="17">
        <v>46115</v>
      </c>
      <c r="B308" t="s">
        <v>661</v>
      </c>
      <c r="C308">
        <v>101</v>
      </c>
      <c r="D308">
        <v>2357</v>
      </c>
      <c r="E308" t="s">
        <v>91</v>
      </c>
      <c r="F308" t="s">
        <v>229</v>
      </c>
      <c r="G308" t="s">
        <v>230</v>
      </c>
      <c r="H308">
        <v>87</v>
      </c>
      <c r="I308">
        <f>SUMIF($D$2:D308, D308, $H$2:H308)</f>
        <v>125</v>
      </c>
      <c r="J308" t="s">
        <v>61</v>
      </c>
      <c r="K308">
        <v>210</v>
      </c>
      <c r="L308">
        <f>ABS(Tabela4[[#This Row],[Quantidade]]*Tabela4[[#This Row],[Valor Unitario]])</f>
        <v>18270</v>
      </c>
      <c r="M308" t="s">
        <v>662</v>
      </c>
    </row>
    <row r="309" spans="1:13" hidden="1" x14ac:dyDescent="0.25">
      <c r="A309" s="17">
        <v>46115</v>
      </c>
      <c r="B309" t="s">
        <v>693</v>
      </c>
      <c r="C309">
        <v>101</v>
      </c>
      <c r="D309">
        <v>2358</v>
      </c>
      <c r="E309" t="s">
        <v>93</v>
      </c>
      <c r="F309" t="s">
        <v>229</v>
      </c>
      <c r="G309" t="s">
        <v>230</v>
      </c>
      <c r="H309">
        <v>92</v>
      </c>
      <c r="I309">
        <f>SUMIF($D$2:D309, D309, $H$2:H309)</f>
        <v>80</v>
      </c>
      <c r="J309" t="s">
        <v>61</v>
      </c>
      <c r="K309">
        <v>890</v>
      </c>
      <c r="L309">
        <f>ABS(Tabela4[[#This Row],[Quantidade]]*Tabela4[[#This Row],[Valor Unitario]])</f>
        <v>81880</v>
      </c>
      <c r="M309" t="s">
        <v>694</v>
      </c>
    </row>
    <row r="310" spans="1:13" hidden="1" x14ac:dyDescent="0.25">
      <c r="A310" s="17">
        <v>46115</v>
      </c>
      <c r="B310" t="s">
        <v>949</v>
      </c>
      <c r="C310">
        <v>101</v>
      </c>
      <c r="D310">
        <v>4001</v>
      </c>
      <c r="E310" t="s">
        <v>111</v>
      </c>
      <c r="F310" t="s">
        <v>229</v>
      </c>
      <c r="G310" t="s">
        <v>230</v>
      </c>
      <c r="H310">
        <v>19</v>
      </c>
      <c r="I310">
        <f>SUMIF($D$2:D310, D310, $H$2:H310)</f>
        <v>61</v>
      </c>
      <c r="J310" t="s">
        <v>61</v>
      </c>
      <c r="K310">
        <v>3200</v>
      </c>
      <c r="L310">
        <f>ABS(Tabela4[[#This Row],[Quantidade]]*Tabela4[[#This Row],[Valor Unitario]])</f>
        <v>60800</v>
      </c>
      <c r="M310" t="s">
        <v>950</v>
      </c>
    </row>
    <row r="311" spans="1:13" hidden="1" x14ac:dyDescent="0.25">
      <c r="A311" s="17">
        <v>46116</v>
      </c>
      <c r="B311" t="s">
        <v>501</v>
      </c>
      <c r="C311">
        <v>101</v>
      </c>
      <c r="D311">
        <v>2009</v>
      </c>
      <c r="E311" t="s">
        <v>80</v>
      </c>
      <c r="F311" t="s">
        <v>229</v>
      </c>
      <c r="G311" t="s">
        <v>230</v>
      </c>
      <c r="H311">
        <v>96</v>
      </c>
      <c r="I311">
        <f>SUMIF($D$2:D311, D311, $H$2:H311)</f>
        <v>91</v>
      </c>
      <c r="J311" t="s">
        <v>61</v>
      </c>
      <c r="K311">
        <v>1650</v>
      </c>
      <c r="L311">
        <f>ABS(Tabela4[[#This Row],[Quantidade]]*Tabela4[[#This Row],[Valor Unitario]])</f>
        <v>158400</v>
      </c>
      <c r="M311" t="s">
        <v>502</v>
      </c>
    </row>
    <row r="312" spans="1:13" hidden="1" x14ac:dyDescent="0.25">
      <c r="A312" s="17">
        <v>46116</v>
      </c>
      <c r="B312" t="s">
        <v>565</v>
      </c>
      <c r="C312">
        <v>101</v>
      </c>
      <c r="D312">
        <v>2011</v>
      </c>
      <c r="E312" t="s">
        <v>84</v>
      </c>
      <c r="F312" t="s">
        <v>229</v>
      </c>
      <c r="G312" t="s">
        <v>230</v>
      </c>
      <c r="H312">
        <v>33</v>
      </c>
      <c r="I312">
        <f>SUMIF($D$2:D312, D312, $H$2:H312)</f>
        <v>26</v>
      </c>
      <c r="J312" t="s">
        <v>61</v>
      </c>
      <c r="K312">
        <v>9800</v>
      </c>
      <c r="L312">
        <f>ABS(Tabela4[[#This Row],[Quantidade]]*Tabela4[[#This Row],[Valor Unitario]])</f>
        <v>323400</v>
      </c>
      <c r="M312" t="s">
        <v>566</v>
      </c>
    </row>
    <row r="313" spans="1:13" hidden="1" x14ac:dyDescent="0.25">
      <c r="A313" s="17">
        <v>46116</v>
      </c>
      <c r="B313" t="s">
        <v>597</v>
      </c>
      <c r="C313">
        <v>101</v>
      </c>
      <c r="D313">
        <v>2012</v>
      </c>
      <c r="E313" t="s">
        <v>86</v>
      </c>
      <c r="F313" t="s">
        <v>229</v>
      </c>
      <c r="G313" t="s">
        <v>230</v>
      </c>
      <c r="H313">
        <v>35</v>
      </c>
      <c r="I313">
        <f>SUMIF($D$2:D313, D313, $H$2:H313)</f>
        <v>124</v>
      </c>
      <c r="J313" t="s">
        <v>61</v>
      </c>
      <c r="K313">
        <v>5400</v>
      </c>
      <c r="L313">
        <f>ABS(Tabela4[[#This Row],[Quantidade]]*Tabela4[[#This Row],[Valor Unitario]])</f>
        <v>189000</v>
      </c>
      <c r="M313" t="s">
        <v>598</v>
      </c>
    </row>
    <row r="314" spans="1:13" hidden="1" x14ac:dyDescent="0.25">
      <c r="A314" s="17">
        <v>46116</v>
      </c>
      <c r="B314" t="s">
        <v>981</v>
      </c>
      <c r="C314">
        <v>101</v>
      </c>
      <c r="D314">
        <v>4002</v>
      </c>
      <c r="E314" t="s">
        <v>114</v>
      </c>
      <c r="F314" t="s">
        <v>229</v>
      </c>
      <c r="G314" t="s">
        <v>230</v>
      </c>
      <c r="H314">
        <v>64</v>
      </c>
      <c r="I314">
        <f>SUMIF($D$2:D314, D314, $H$2:H314)</f>
        <v>41</v>
      </c>
      <c r="J314" t="s">
        <v>61</v>
      </c>
      <c r="K314">
        <v>4100</v>
      </c>
      <c r="L314">
        <f>ABS(Tabela4[[#This Row],[Quantidade]]*Tabela4[[#This Row],[Valor Unitario]])</f>
        <v>262400</v>
      </c>
      <c r="M314" t="s">
        <v>982</v>
      </c>
    </row>
    <row r="315" spans="1:13" x14ac:dyDescent="0.25">
      <c r="A315" s="17">
        <v>46117</v>
      </c>
      <c r="B315" t="s">
        <v>725</v>
      </c>
      <c r="C315">
        <v>101</v>
      </c>
      <c r="D315">
        <v>2359</v>
      </c>
      <c r="E315" t="s">
        <v>95</v>
      </c>
      <c r="F315" t="s">
        <v>229</v>
      </c>
      <c r="G315" t="s">
        <v>230</v>
      </c>
      <c r="H315">
        <v>47</v>
      </c>
      <c r="I315">
        <f>SUMIF($D$2:D315, D315, $H$2:H315)</f>
        <v>77</v>
      </c>
      <c r="J315" t="s">
        <v>61</v>
      </c>
      <c r="K315">
        <v>1240</v>
      </c>
      <c r="L315">
        <f>ABS(Tabela4[[#This Row],[Quantidade]]*Tabela4[[#This Row],[Valor Unitario]])</f>
        <v>58280</v>
      </c>
      <c r="M315" t="s">
        <v>726</v>
      </c>
    </row>
    <row r="316" spans="1:13" hidden="1" x14ac:dyDescent="0.25">
      <c r="A316" s="17">
        <v>46117</v>
      </c>
      <c r="B316" t="s">
        <v>1269</v>
      </c>
      <c r="C316">
        <v>101</v>
      </c>
      <c r="D316">
        <v>6002</v>
      </c>
      <c r="E316" t="s">
        <v>134</v>
      </c>
      <c r="F316" t="s">
        <v>229</v>
      </c>
      <c r="G316" t="s">
        <v>230</v>
      </c>
      <c r="H316">
        <v>70</v>
      </c>
      <c r="I316">
        <f>SUMIF($D$2:D316, D316, $H$2:H316)</f>
        <v>89</v>
      </c>
      <c r="J316" t="s">
        <v>61</v>
      </c>
      <c r="K316">
        <v>6900</v>
      </c>
      <c r="L316">
        <f>ABS(Tabela4[[#This Row],[Quantidade]]*Tabela4[[#This Row],[Valor Unitario]])</f>
        <v>483000</v>
      </c>
      <c r="M316" t="s">
        <v>1270</v>
      </c>
    </row>
    <row r="317" spans="1:13" hidden="1" x14ac:dyDescent="0.25">
      <c r="A317" s="17">
        <v>46117</v>
      </c>
      <c r="B317" t="s">
        <v>1397</v>
      </c>
      <c r="C317">
        <v>101</v>
      </c>
      <c r="D317">
        <v>7002</v>
      </c>
      <c r="E317" t="s">
        <v>143</v>
      </c>
      <c r="F317" t="s">
        <v>229</v>
      </c>
      <c r="G317" t="s">
        <v>230</v>
      </c>
      <c r="H317">
        <v>74</v>
      </c>
      <c r="I317">
        <f>SUMIF($D$2:D317, D317, $H$2:H317)</f>
        <v>98</v>
      </c>
      <c r="J317" t="s">
        <v>61</v>
      </c>
      <c r="K317">
        <v>95</v>
      </c>
      <c r="L317">
        <f>ABS(Tabela4[[#This Row],[Quantidade]]*Tabela4[[#This Row],[Valor Unitario]])</f>
        <v>7030</v>
      </c>
      <c r="M317" t="s">
        <v>1398</v>
      </c>
    </row>
    <row r="318" spans="1:13" hidden="1" x14ac:dyDescent="0.25">
      <c r="A318" s="17">
        <v>46118</v>
      </c>
      <c r="B318" t="s">
        <v>1429</v>
      </c>
      <c r="C318">
        <v>101</v>
      </c>
      <c r="D318">
        <v>7003</v>
      </c>
      <c r="E318" t="s">
        <v>145</v>
      </c>
      <c r="F318" t="s">
        <v>229</v>
      </c>
      <c r="G318" t="s">
        <v>230</v>
      </c>
      <c r="H318">
        <v>72</v>
      </c>
      <c r="I318">
        <f>SUMIF($D$2:D318, D318, $H$2:H318)</f>
        <v>125</v>
      </c>
      <c r="J318" t="s">
        <v>61</v>
      </c>
      <c r="K318">
        <v>130</v>
      </c>
      <c r="L318">
        <f>ABS(Tabela4[[#This Row],[Quantidade]]*Tabela4[[#This Row],[Valor Unitario]])</f>
        <v>9360</v>
      </c>
      <c r="M318" t="s">
        <v>1430</v>
      </c>
    </row>
    <row r="319" spans="1:13" hidden="1" x14ac:dyDescent="0.25">
      <c r="A319" s="17">
        <v>46118</v>
      </c>
      <c r="B319" t="s">
        <v>1461</v>
      </c>
      <c r="C319">
        <v>101</v>
      </c>
      <c r="D319">
        <v>8001</v>
      </c>
      <c r="E319" t="s">
        <v>147</v>
      </c>
      <c r="F319" t="s">
        <v>229</v>
      </c>
      <c r="G319" t="s">
        <v>230</v>
      </c>
      <c r="H319">
        <v>11</v>
      </c>
      <c r="I319">
        <f>SUMIF($D$2:D319, D319, $H$2:H319)</f>
        <v>-49</v>
      </c>
      <c r="J319" t="s">
        <v>149</v>
      </c>
      <c r="K319">
        <v>28</v>
      </c>
      <c r="L319">
        <f>ABS(Tabela4[[#This Row],[Quantidade]]*Tabela4[[#This Row],[Valor Unitario]])</f>
        <v>308</v>
      </c>
      <c r="M319" t="s">
        <v>1462</v>
      </c>
    </row>
    <row r="320" spans="1:13" hidden="1" x14ac:dyDescent="0.25">
      <c r="A320" s="17">
        <v>46118</v>
      </c>
      <c r="B320" t="s">
        <v>1589</v>
      </c>
      <c r="C320">
        <v>101</v>
      </c>
      <c r="D320">
        <v>9003</v>
      </c>
      <c r="E320" t="s">
        <v>159</v>
      </c>
      <c r="F320" t="s">
        <v>229</v>
      </c>
      <c r="G320" t="s">
        <v>230</v>
      </c>
      <c r="H320">
        <v>85</v>
      </c>
      <c r="I320">
        <f>SUMIF($D$2:D320, D320, $H$2:H320)</f>
        <v>69</v>
      </c>
      <c r="J320" t="s">
        <v>61</v>
      </c>
      <c r="K320">
        <v>2.2000000000000002</v>
      </c>
      <c r="L320">
        <f>ABS(Tabela4[[#This Row],[Quantidade]]*Tabela4[[#This Row],[Valor Unitario]])</f>
        <v>187.00000000000003</v>
      </c>
      <c r="M320" t="s">
        <v>1590</v>
      </c>
    </row>
    <row r="321" spans="1:13" hidden="1" x14ac:dyDescent="0.25">
      <c r="A321" s="17">
        <v>46119</v>
      </c>
      <c r="B321" t="s">
        <v>629</v>
      </c>
      <c r="C321">
        <v>101</v>
      </c>
      <c r="D321">
        <v>2356</v>
      </c>
      <c r="E321" t="s">
        <v>88</v>
      </c>
      <c r="F321" t="s">
        <v>229</v>
      </c>
      <c r="G321" t="s">
        <v>230</v>
      </c>
      <c r="H321">
        <v>66</v>
      </c>
      <c r="I321">
        <f>SUMIF($D$2:D321, D321, $H$2:H321)</f>
        <v>78</v>
      </c>
      <c r="J321" t="s">
        <v>61</v>
      </c>
      <c r="K321">
        <v>145</v>
      </c>
      <c r="L321">
        <f>ABS(Tabela4[[#This Row],[Quantidade]]*Tabela4[[#This Row],[Valor Unitario]])</f>
        <v>9570</v>
      </c>
      <c r="M321" t="s">
        <v>630</v>
      </c>
    </row>
    <row r="322" spans="1:13" hidden="1" x14ac:dyDescent="0.25">
      <c r="A322" s="17">
        <v>46119</v>
      </c>
      <c r="B322" t="s">
        <v>757</v>
      </c>
      <c r="C322">
        <v>101</v>
      </c>
      <c r="D322">
        <v>2360</v>
      </c>
      <c r="E322" t="s">
        <v>97</v>
      </c>
      <c r="F322" t="s">
        <v>229</v>
      </c>
      <c r="G322" t="s">
        <v>230</v>
      </c>
      <c r="H322">
        <v>2</v>
      </c>
      <c r="I322">
        <f>SUMIF($D$2:D322, D322, $H$2:H322)</f>
        <v>24</v>
      </c>
      <c r="J322" t="s">
        <v>61</v>
      </c>
      <c r="K322">
        <v>2380</v>
      </c>
      <c r="L322">
        <f>ABS(Tabela4[[#This Row],[Quantidade]]*Tabela4[[#This Row],[Valor Unitario]])</f>
        <v>4760</v>
      </c>
      <c r="M322" t="s">
        <v>758</v>
      </c>
    </row>
    <row r="323" spans="1:13" hidden="1" x14ac:dyDescent="0.25">
      <c r="A323" s="17">
        <v>46119</v>
      </c>
      <c r="B323" t="s">
        <v>1237</v>
      </c>
      <c r="C323">
        <v>101</v>
      </c>
      <c r="D323">
        <v>6001</v>
      </c>
      <c r="E323" t="s">
        <v>131</v>
      </c>
      <c r="F323" t="s">
        <v>229</v>
      </c>
      <c r="G323" t="s">
        <v>230</v>
      </c>
      <c r="H323">
        <v>4</v>
      </c>
      <c r="I323">
        <f>SUMIF($D$2:D323, D323, $H$2:H323)</f>
        <v>-37</v>
      </c>
      <c r="J323" t="s">
        <v>61</v>
      </c>
      <c r="K323">
        <v>15800</v>
      </c>
      <c r="L323">
        <f>ABS(Tabela4[[#This Row],[Quantidade]]*Tabela4[[#This Row],[Valor Unitario]])</f>
        <v>63200</v>
      </c>
      <c r="M323" t="s">
        <v>1238</v>
      </c>
    </row>
    <row r="324" spans="1:13" hidden="1" x14ac:dyDescent="0.25">
      <c r="A324" s="17">
        <v>46119</v>
      </c>
      <c r="B324" t="s">
        <v>1525</v>
      </c>
      <c r="C324">
        <v>101</v>
      </c>
      <c r="D324">
        <v>9001</v>
      </c>
      <c r="E324" t="s">
        <v>154</v>
      </c>
      <c r="F324" t="s">
        <v>229</v>
      </c>
      <c r="G324" t="s">
        <v>230</v>
      </c>
      <c r="H324">
        <v>1</v>
      </c>
      <c r="I324">
        <f>SUMIF($D$2:D324, D324, $H$2:H324)</f>
        <v>87</v>
      </c>
      <c r="J324" t="s">
        <v>61</v>
      </c>
      <c r="K324">
        <v>18</v>
      </c>
      <c r="L324">
        <f>ABS(Tabela4[[#This Row],[Quantidade]]*Tabela4[[#This Row],[Valor Unitario]])</f>
        <v>18</v>
      </c>
      <c r="M324" t="s">
        <v>1526</v>
      </c>
    </row>
    <row r="325" spans="1:13" hidden="1" x14ac:dyDescent="0.25">
      <c r="A325" s="17">
        <v>46119</v>
      </c>
      <c r="B325" t="s">
        <v>1653</v>
      </c>
      <c r="C325">
        <v>101</v>
      </c>
      <c r="D325">
        <v>9005</v>
      </c>
      <c r="E325" t="s">
        <v>163</v>
      </c>
      <c r="F325" t="s">
        <v>229</v>
      </c>
      <c r="G325" t="s">
        <v>230</v>
      </c>
      <c r="H325">
        <v>37</v>
      </c>
      <c r="I325">
        <f>SUMIF($D$2:D325, D325, $H$2:H325)</f>
        <v>65</v>
      </c>
      <c r="J325" t="s">
        <v>61</v>
      </c>
      <c r="K325">
        <v>8.9</v>
      </c>
      <c r="L325">
        <f>ABS(Tabela4[[#This Row],[Quantidade]]*Tabela4[[#This Row],[Valor Unitario]])</f>
        <v>329.3</v>
      </c>
      <c r="M325" t="s">
        <v>1654</v>
      </c>
    </row>
    <row r="326" spans="1:13" hidden="1" x14ac:dyDescent="0.25">
      <c r="A326" s="17">
        <v>46120</v>
      </c>
      <c r="B326" t="s">
        <v>789</v>
      </c>
      <c r="C326">
        <v>101</v>
      </c>
      <c r="D326">
        <v>2361</v>
      </c>
      <c r="E326" t="s">
        <v>99</v>
      </c>
      <c r="F326" t="s">
        <v>229</v>
      </c>
      <c r="G326" t="s">
        <v>230</v>
      </c>
      <c r="H326">
        <v>93</v>
      </c>
      <c r="I326">
        <f>SUMIF($D$2:D326, D326, $H$2:H326)</f>
        <v>62</v>
      </c>
      <c r="J326" t="s">
        <v>61</v>
      </c>
      <c r="K326">
        <v>68</v>
      </c>
      <c r="L326">
        <f>ABS(Tabela4[[#This Row],[Quantidade]]*Tabela4[[#This Row],[Valor Unitario]])</f>
        <v>6324</v>
      </c>
      <c r="M326" t="s">
        <v>790</v>
      </c>
    </row>
    <row r="327" spans="1:13" hidden="1" x14ac:dyDescent="0.25">
      <c r="A327" s="17">
        <v>46120</v>
      </c>
      <c r="B327" t="s">
        <v>1301</v>
      </c>
      <c r="C327">
        <v>101</v>
      </c>
      <c r="D327">
        <v>6003</v>
      </c>
      <c r="E327" t="s">
        <v>136</v>
      </c>
      <c r="F327" t="s">
        <v>229</v>
      </c>
      <c r="G327" t="s">
        <v>230</v>
      </c>
      <c r="H327">
        <v>2</v>
      </c>
      <c r="I327">
        <f>SUMIF($D$2:D327, D327, $H$2:H327)</f>
        <v>28</v>
      </c>
      <c r="J327" t="s">
        <v>103</v>
      </c>
      <c r="K327">
        <v>85</v>
      </c>
      <c r="L327">
        <f>ABS(Tabela4[[#This Row],[Quantidade]]*Tabela4[[#This Row],[Valor Unitario]])</f>
        <v>170</v>
      </c>
      <c r="M327" t="s">
        <v>1302</v>
      </c>
    </row>
    <row r="328" spans="1:13" hidden="1" x14ac:dyDescent="0.25">
      <c r="A328" s="17">
        <v>46121</v>
      </c>
      <c r="B328" t="s">
        <v>1333</v>
      </c>
      <c r="C328">
        <v>101</v>
      </c>
      <c r="D328">
        <v>6004</v>
      </c>
      <c r="E328" t="s">
        <v>138</v>
      </c>
      <c r="F328" t="s">
        <v>229</v>
      </c>
      <c r="G328" t="s">
        <v>230</v>
      </c>
      <c r="H328">
        <v>14</v>
      </c>
      <c r="I328">
        <f>SUMIF($D$2:D328, D328, $H$2:H328)</f>
        <v>206</v>
      </c>
      <c r="J328" t="s">
        <v>61</v>
      </c>
      <c r="K328">
        <v>2650</v>
      </c>
      <c r="L328">
        <f>ABS(Tabela4[[#This Row],[Quantidade]]*Tabela4[[#This Row],[Valor Unitario]])</f>
        <v>37100</v>
      </c>
      <c r="M328" t="s">
        <v>1334</v>
      </c>
    </row>
    <row r="329" spans="1:13" hidden="1" x14ac:dyDescent="0.25">
      <c r="A329" s="17">
        <v>46122</v>
      </c>
      <c r="B329" t="s">
        <v>1205</v>
      </c>
      <c r="C329">
        <v>101</v>
      </c>
      <c r="D329">
        <v>5007</v>
      </c>
      <c r="E329" t="s">
        <v>129</v>
      </c>
      <c r="F329" t="s">
        <v>229</v>
      </c>
      <c r="G329" t="s">
        <v>230</v>
      </c>
      <c r="H329">
        <v>44</v>
      </c>
      <c r="I329">
        <f>SUMIF($D$2:D329, D329, $H$2:H329)</f>
        <v>-97</v>
      </c>
      <c r="J329" t="s">
        <v>61</v>
      </c>
      <c r="K329">
        <v>340</v>
      </c>
      <c r="L329">
        <f>ABS(Tabela4[[#This Row],[Quantidade]]*Tabela4[[#This Row],[Valor Unitario]])</f>
        <v>14960</v>
      </c>
      <c r="M329" t="s">
        <v>1206</v>
      </c>
    </row>
    <row r="330" spans="1:13" hidden="1" x14ac:dyDescent="0.25">
      <c r="A330" s="17">
        <v>46122</v>
      </c>
      <c r="B330" t="s">
        <v>1557</v>
      </c>
      <c r="C330">
        <v>101</v>
      </c>
      <c r="D330">
        <v>9002</v>
      </c>
      <c r="E330" t="s">
        <v>157</v>
      </c>
      <c r="F330" t="s">
        <v>229</v>
      </c>
      <c r="G330" t="s">
        <v>230</v>
      </c>
      <c r="H330">
        <v>74</v>
      </c>
      <c r="I330">
        <f>SUMIF($D$2:D330, D330, $H$2:H330)</f>
        <v>148</v>
      </c>
      <c r="J330" t="s">
        <v>61</v>
      </c>
      <c r="K330">
        <v>6.5</v>
      </c>
      <c r="L330">
        <f>ABS(Tabela4[[#This Row],[Quantidade]]*Tabela4[[#This Row],[Valor Unitario]])</f>
        <v>481</v>
      </c>
      <c r="M330" t="s">
        <v>1558</v>
      </c>
    </row>
    <row r="331" spans="1:13" hidden="1" x14ac:dyDescent="0.25">
      <c r="A331" s="17">
        <v>46123</v>
      </c>
      <c r="B331" t="s">
        <v>885</v>
      </c>
      <c r="C331">
        <v>101</v>
      </c>
      <c r="D331">
        <v>3003</v>
      </c>
      <c r="E331" t="s">
        <v>107</v>
      </c>
      <c r="F331" t="s">
        <v>229</v>
      </c>
      <c r="G331" t="s">
        <v>230</v>
      </c>
      <c r="H331">
        <v>66</v>
      </c>
      <c r="I331">
        <f>SUMIF($D$2:D331, D331, $H$2:H331)</f>
        <v>109</v>
      </c>
      <c r="J331" t="s">
        <v>61</v>
      </c>
      <c r="K331">
        <v>2450</v>
      </c>
      <c r="L331">
        <f>ABS(Tabela4[[#This Row],[Quantidade]]*Tabela4[[#This Row],[Valor Unitario]])</f>
        <v>161700</v>
      </c>
      <c r="M331" t="s">
        <v>886</v>
      </c>
    </row>
    <row r="332" spans="1:13" hidden="1" x14ac:dyDescent="0.25">
      <c r="A332" s="17">
        <v>46123</v>
      </c>
      <c r="B332" t="s">
        <v>1013</v>
      </c>
      <c r="C332">
        <v>101</v>
      </c>
      <c r="D332">
        <v>5001</v>
      </c>
      <c r="E332" t="s">
        <v>116</v>
      </c>
      <c r="F332" t="s">
        <v>229</v>
      </c>
      <c r="G332" t="s">
        <v>230</v>
      </c>
      <c r="H332">
        <v>85</v>
      </c>
      <c r="I332">
        <f>SUMIF($D$2:D332, D332, $H$2:H332)</f>
        <v>151</v>
      </c>
      <c r="J332" t="s">
        <v>61</v>
      </c>
      <c r="K332">
        <v>32500</v>
      </c>
      <c r="L332">
        <f>ABS(Tabela4[[#This Row],[Quantidade]]*Tabela4[[#This Row],[Valor Unitario]])</f>
        <v>2762500</v>
      </c>
      <c r="M332" t="s">
        <v>1014</v>
      </c>
    </row>
    <row r="333" spans="1:13" hidden="1" x14ac:dyDescent="0.25">
      <c r="A333" s="17">
        <v>46123</v>
      </c>
      <c r="B333" t="s">
        <v>1493</v>
      </c>
      <c r="C333">
        <v>101</v>
      </c>
      <c r="D333">
        <v>8002</v>
      </c>
      <c r="E333" t="s">
        <v>151</v>
      </c>
      <c r="F333" t="s">
        <v>229</v>
      </c>
      <c r="G333" t="s">
        <v>230</v>
      </c>
      <c r="H333">
        <v>34</v>
      </c>
      <c r="I333">
        <f>SUMIF($D$2:D333, D333, $H$2:H333)</f>
        <v>-5</v>
      </c>
      <c r="J333" t="s">
        <v>152</v>
      </c>
      <c r="K333">
        <v>32</v>
      </c>
      <c r="L333">
        <f>ABS(Tabela4[[#This Row],[Quantidade]]*Tabela4[[#This Row],[Valor Unitario]])</f>
        <v>1088</v>
      </c>
      <c r="M333" t="s">
        <v>1494</v>
      </c>
    </row>
    <row r="334" spans="1:13" hidden="1" x14ac:dyDescent="0.25">
      <c r="A334" s="17">
        <v>46124</v>
      </c>
      <c r="B334" t="s">
        <v>469</v>
      </c>
      <c r="C334">
        <v>101</v>
      </c>
      <c r="D334">
        <v>2008</v>
      </c>
      <c r="E334" t="s">
        <v>78</v>
      </c>
      <c r="F334" t="s">
        <v>229</v>
      </c>
      <c r="G334" t="s">
        <v>230</v>
      </c>
      <c r="H334">
        <v>90</v>
      </c>
      <c r="I334">
        <f>SUMIF($D$2:D334, D334, $H$2:H334)</f>
        <v>68</v>
      </c>
      <c r="J334" t="s">
        <v>61</v>
      </c>
      <c r="K334">
        <v>24500</v>
      </c>
      <c r="L334">
        <f>ABS(Tabela4[[#This Row],[Quantidade]]*Tabela4[[#This Row],[Valor Unitario]])</f>
        <v>2205000</v>
      </c>
      <c r="M334" t="s">
        <v>470</v>
      </c>
    </row>
    <row r="335" spans="1:13" hidden="1" x14ac:dyDescent="0.25">
      <c r="A335" s="17">
        <v>46124</v>
      </c>
      <c r="B335" t="s">
        <v>853</v>
      </c>
      <c r="C335">
        <v>101</v>
      </c>
      <c r="D335">
        <v>3002</v>
      </c>
      <c r="E335" t="s">
        <v>105</v>
      </c>
      <c r="F335" t="s">
        <v>229</v>
      </c>
      <c r="G335" t="s">
        <v>230</v>
      </c>
      <c r="H335">
        <v>25</v>
      </c>
      <c r="I335">
        <f>SUMIF($D$2:D335, D335, $H$2:H335)</f>
        <v>45</v>
      </c>
      <c r="J335" t="s">
        <v>61</v>
      </c>
      <c r="K335">
        <v>95</v>
      </c>
      <c r="L335">
        <f>ABS(Tabela4[[#This Row],[Quantidade]]*Tabela4[[#This Row],[Valor Unitario]])</f>
        <v>2375</v>
      </c>
      <c r="M335" t="s">
        <v>854</v>
      </c>
    </row>
    <row r="336" spans="1:13" hidden="1" x14ac:dyDescent="0.25">
      <c r="A336" s="17">
        <v>46124</v>
      </c>
      <c r="B336" t="s">
        <v>1141</v>
      </c>
      <c r="C336">
        <v>101</v>
      </c>
      <c r="D336">
        <v>5005</v>
      </c>
      <c r="E336" t="s">
        <v>125</v>
      </c>
      <c r="F336" t="s">
        <v>229</v>
      </c>
      <c r="G336" t="s">
        <v>230</v>
      </c>
      <c r="H336">
        <v>42</v>
      </c>
      <c r="I336">
        <f>SUMIF($D$2:D336, D336, $H$2:H336)</f>
        <v>75</v>
      </c>
      <c r="J336" t="s">
        <v>61</v>
      </c>
      <c r="K336">
        <v>780</v>
      </c>
      <c r="L336">
        <f>ABS(Tabela4[[#This Row],[Quantidade]]*Tabela4[[#This Row],[Valor Unitario]])</f>
        <v>32760</v>
      </c>
      <c r="M336" t="s">
        <v>1142</v>
      </c>
    </row>
    <row r="337" spans="1:13" hidden="1" x14ac:dyDescent="0.25">
      <c r="A337" s="17">
        <v>46125</v>
      </c>
      <c r="B337" t="s">
        <v>407</v>
      </c>
      <c r="C337">
        <v>101</v>
      </c>
      <c r="D337">
        <v>2006</v>
      </c>
      <c r="E337" t="s">
        <v>74</v>
      </c>
      <c r="F337" t="s">
        <v>229</v>
      </c>
      <c r="G337" t="s">
        <v>230</v>
      </c>
      <c r="H337">
        <v>62</v>
      </c>
      <c r="I337">
        <f>SUMIF($D$2:D337, D337, $H$2:H337)</f>
        <v>103</v>
      </c>
      <c r="J337" t="s">
        <v>61</v>
      </c>
      <c r="K337">
        <v>2870</v>
      </c>
      <c r="L337">
        <f>ABS(Tabela4[[#This Row],[Quantidade]]*Tabela4[[#This Row],[Valor Unitario]])</f>
        <v>177940</v>
      </c>
      <c r="M337" t="s">
        <v>317</v>
      </c>
    </row>
    <row r="338" spans="1:13" hidden="1" x14ac:dyDescent="0.25">
      <c r="A338" s="17">
        <v>46126</v>
      </c>
      <c r="B338" t="s">
        <v>391</v>
      </c>
      <c r="C338">
        <v>101</v>
      </c>
      <c r="D338">
        <v>2005</v>
      </c>
      <c r="E338" t="s">
        <v>71</v>
      </c>
      <c r="F338" t="s">
        <v>229</v>
      </c>
      <c r="G338" t="s">
        <v>230</v>
      </c>
      <c r="H338">
        <v>3</v>
      </c>
      <c r="I338">
        <f>SUMIF($D$2:D338, D338, $H$2:H338)</f>
        <v>30</v>
      </c>
      <c r="J338" t="s">
        <v>61</v>
      </c>
      <c r="K338">
        <v>3450</v>
      </c>
      <c r="L338">
        <f>ABS(Tabela4[[#This Row],[Quantidade]]*Tabela4[[#This Row],[Valor Unitario]])</f>
        <v>10350</v>
      </c>
      <c r="M338" t="s">
        <v>301</v>
      </c>
    </row>
    <row r="339" spans="1:13" hidden="1" x14ac:dyDescent="0.25">
      <c r="A339" s="17">
        <v>46126</v>
      </c>
      <c r="B339" t="s">
        <v>1045</v>
      </c>
      <c r="C339">
        <v>101</v>
      </c>
      <c r="D339">
        <v>5002</v>
      </c>
      <c r="E339" t="s">
        <v>119</v>
      </c>
      <c r="F339" t="s">
        <v>229</v>
      </c>
      <c r="G339" t="s">
        <v>230</v>
      </c>
      <c r="H339">
        <v>1</v>
      </c>
      <c r="I339">
        <f>SUMIF($D$2:D339, D339, $H$2:H339)</f>
        <v>59</v>
      </c>
      <c r="J339" t="s">
        <v>61</v>
      </c>
      <c r="K339">
        <v>17800</v>
      </c>
      <c r="L339">
        <f>ABS(Tabela4[[#This Row],[Quantidade]]*Tabela4[[#This Row],[Valor Unitario]])</f>
        <v>17800</v>
      </c>
      <c r="M339" t="s">
        <v>1046</v>
      </c>
    </row>
    <row r="340" spans="1:13" hidden="1" x14ac:dyDescent="0.25">
      <c r="A340" s="17">
        <v>46126</v>
      </c>
      <c r="B340" t="s">
        <v>1077</v>
      </c>
      <c r="C340">
        <v>101</v>
      </c>
      <c r="D340">
        <v>5003</v>
      </c>
      <c r="E340" t="s">
        <v>121</v>
      </c>
      <c r="F340" t="s">
        <v>229</v>
      </c>
      <c r="G340" t="s">
        <v>230</v>
      </c>
      <c r="H340">
        <v>66</v>
      </c>
      <c r="I340">
        <f>SUMIF($D$2:D340, D340, $H$2:H340)</f>
        <v>114</v>
      </c>
      <c r="J340" t="s">
        <v>61</v>
      </c>
      <c r="K340">
        <v>8900</v>
      </c>
      <c r="L340">
        <f>ABS(Tabela4[[#This Row],[Quantidade]]*Tabela4[[#This Row],[Valor Unitario]])</f>
        <v>587400</v>
      </c>
      <c r="M340" t="s">
        <v>1078</v>
      </c>
    </row>
    <row r="341" spans="1:13" hidden="1" x14ac:dyDescent="0.25">
      <c r="A341" s="17">
        <v>46126</v>
      </c>
      <c r="B341" t="s">
        <v>1365</v>
      </c>
      <c r="C341">
        <v>101</v>
      </c>
      <c r="D341">
        <v>7001</v>
      </c>
      <c r="E341" t="s">
        <v>140</v>
      </c>
      <c r="F341" t="s">
        <v>229</v>
      </c>
      <c r="G341" t="s">
        <v>230</v>
      </c>
      <c r="H341">
        <v>53</v>
      </c>
      <c r="I341">
        <f>SUMIF($D$2:D341, D341, $H$2:H341)</f>
        <v>39</v>
      </c>
      <c r="J341" t="s">
        <v>61</v>
      </c>
      <c r="K341">
        <v>210</v>
      </c>
      <c r="L341">
        <f>ABS(Tabela4[[#This Row],[Quantidade]]*Tabela4[[#This Row],[Valor Unitario]])</f>
        <v>11130</v>
      </c>
      <c r="M341" t="s">
        <v>1366</v>
      </c>
    </row>
    <row r="342" spans="1:13" hidden="1" x14ac:dyDescent="0.25">
      <c r="A342" s="17">
        <v>46126</v>
      </c>
      <c r="B342" t="s">
        <v>1621</v>
      </c>
      <c r="C342">
        <v>101</v>
      </c>
      <c r="D342">
        <v>9004</v>
      </c>
      <c r="E342" t="s">
        <v>161</v>
      </c>
      <c r="F342" t="s">
        <v>229</v>
      </c>
      <c r="G342" t="s">
        <v>230</v>
      </c>
      <c r="H342">
        <v>9</v>
      </c>
      <c r="I342">
        <f>SUMIF($D$2:D342, D342, $H$2:H342)</f>
        <v>69</v>
      </c>
      <c r="J342" t="s">
        <v>61</v>
      </c>
      <c r="K342">
        <v>45</v>
      </c>
      <c r="L342">
        <f>ABS(Tabela4[[#This Row],[Quantidade]]*Tabela4[[#This Row],[Valor Unitario]])</f>
        <v>405</v>
      </c>
      <c r="M342" t="s">
        <v>1622</v>
      </c>
    </row>
    <row r="343" spans="1:13" hidden="1" x14ac:dyDescent="0.25">
      <c r="A343" s="17">
        <v>46127</v>
      </c>
      <c r="B343" t="s">
        <v>392</v>
      </c>
      <c r="C343">
        <v>261</v>
      </c>
      <c r="D343">
        <v>2005</v>
      </c>
      <c r="E343" t="s">
        <v>71</v>
      </c>
      <c r="F343" t="s">
        <v>229</v>
      </c>
      <c r="G343" t="s">
        <v>230</v>
      </c>
      <c r="H343">
        <v>-5</v>
      </c>
      <c r="I343">
        <f>SUMIF($D$2:D343, D343, $H$2:H343)</f>
        <v>25</v>
      </c>
      <c r="J343" t="s">
        <v>61</v>
      </c>
      <c r="K343">
        <v>3450</v>
      </c>
      <c r="L343">
        <f>ABS(Tabela4[[#This Row],[Quantidade]]*Tabela4[[#This Row],[Valor Unitario]])</f>
        <v>17250</v>
      </c>
      <c r="M343" t="s">
        <v>302</v>
      </c>
    </row>
    <row r="344" spans="1:13" x14ac:dyDescent="0.25">
      <c r="A344" s="17">
        <v>46127</v>
      </c>
      <c r="B344" t="s">
        <v>727</v>
      </c>
      <c r="C344">
        <v>261</v>
      </c>
      <c r="D344">
        <v>2359</v>
      </c>
      <c r="E344" t="s">
        <v>95</v>
      </c>
      <c r="F344" t="s">
        <v>229</v>
      </c>
      <c r="G344" t="s">
        <v>230</v>
      </c>
      <c r="H344">
        <v>-50</v>
      </c>
      <c r="I344">
        <f>SUMIF($D$2:D344, D344, $H$2:H344)</f>
        <v>27</v>
      </c>
      <c r="J344" t="s">
        <v>61</v>
      </c>
      <c r="K344">
        <v>1240</v>
      </c>
      <c r="L344">
        <f>ABS(Tabela4[[#This Row],[Quantidade]]*Tabela4[[#This Row],[Valor Unitario]])</f>
        <v>62000</v>
      </c>
      <c r="M344" t="s">
        <v>728</v>
      </c>
    </row>
    <row r="345" spans="1:13" hidden="1" x14ac:dyDescent="0.25">
      <c r="A345" s="17">
        <v>46127</v>
      </c>
      <c r="B345" t="s">
        <v>759</v>
      </c>
      <c r="C345">
        <v>261</v>
      </c>
      <c r="D345">
        <v>2360</v>
      </c>
      <c r="E345" t="s">
        <v>97</v>
      </c>
      <c r="F345" t="s">
        <v>229</v>
      </c>
      <c r="G345" t="s">
        <v>230</v>
      </c>
      <c r="H345">
        <v>-92</v>
      </c>
      <c r="I345">
        <f>SUMIF($D$2:D345, D345, $H$2:H345)</f>
        <v>-68</v>
      </c>
      <c r="J345" t="s">
        <v>61</v>
      </c>
      <c r="K345">
        <v>2380</v>
      </c>
      <c r="L345">
        <f>ABS(Tabela4[[#This Row],[Quantidade]]*Tabela4[[#This Row],[Valor Unitario]])</f>
        <v>218960</v>
      </c>
      <c r="M345" t="s">
        <v>760</v>
      </c>
    </row>
    <row r="346" spans="1:13" hidden="1" x14ac:dyDescent="0.25">
      <c r="A346" s="17">
        <v>46127</v>
      </c>
      <c r="B346" t="s">
        <v>1399</v>
      </c>
      <c r="C346">
        <v>261</v>
      </c>
      <c r="D346">
        <v>7002</v>
      </c>
      <c r="E346" t="s">
        <v>143</v>
      </c>
      <c r="F346" t="s">
        <v>229</v>
      </c>
      <c r="G346" t="s">
        <v>230</v>
      </c>
      <c r="H346">
        <v>-38</v>
      </c>
      <c r="I346">
        <f>SUMIF($D$2:D346, D346, $H$2:H346)</f>
        <v>60</v>
      </c>
      <c r="J346" t="s">
        <v>61</v>
      </c>
      <c r="K346">
        <v>95</v>
      </c>
      <c r="L346">
        <f>ABS(Tabela4[[#This Row],[Quantidade]]*Tabela4[[#This Row],[Valor Unitario]])</f>
        <v>3610</v>
      </c>
      <c r="M346" t="s">
        <v>1400</v>
      </c>
    </row>
    <row r="347" spans="1:13" hidden="1" x14ac:dyDescent="0.25">
      <c r="A347" s="17">
        <v>46128</v>
      </c>
      <c r="B347" t="s">
        <v>1623</v>
      </c>
      <c r="C347">
        <v>261</v>
      </c>
      <c r="D347">
        <v>9004</v>
      </c>
      <c r="E347" t="s">
        <v>161</v>
      </c>
      <c r="F347" t="s">
        <v>229</v>
      </c>
      <c r="G347" t="s">
        <v>230</v>
      </c>
      <c r="H347">
        <v>-53</v>
      </c>
      <c r="I347">
        <f>SUMIF($D$2:D347, D347, $H$2:H347)</f>
        <v>16</v>
      </c>
      <c r="J347" t="s">
        <v>61</v>
      </c>
      <c r="K347">
        <v>45</v>
      </c>
      <c r="L347">
        <f>ABS(Tabela4[[#This Row],[Quantidade]]*Tabela4[[#This Row],[Valor Unitario]])</f>
        <v>2385</v>
      </c>
      <c r="M347" t="s">
        <v>1624</v>
      </c>
    </row>
    <row r="348" spans="1:13" hidden="1" x14ac:dyDescent="0.25">
      <c r="A348" s="17">
        <v>46129</v>
      </c>
      <c r="B348" t="s">
        <v>1047</v>
      </c>
      <c r="C348">
        <v>261</v>
      </c>
      <c r="D348">
        <v>5002</v>
      </c>
      <c r="E348" t="s">
        <v>119</v>
      </c>
      <c r="F348" t="s">
        <v>229</v>
      </c>
      <c r="G348" t="s">
        <v>230</v>
      </c>
      <c r="H348">
        <v>-45</v>
      </c>
      <c r="I348">
        <f>SUMIF($D$2:D348, D348, $H$2:H348)</f>
        <v>14</v>
      </c>
      <c r="J348" t="s">
        <v>61</v>
      </c>
      <c r="K348">
        <v>17800</v>
      </c>
      <c r="L348">
        <f>ABS(Tabela4[[#This Row],[Quantidade]]*Tabela4[[#This Row],[Valor Unitario]])</f>
        <v>801000</v>
      </c>
      <c r="M348" t="s">
        <v>1048</v>
      </c>
    </row>
    <row r="349" spans="1:13" hidden="1" x14ac:dyDescent="0.25">
      <c r="A349" s="17">
        <v>46129</v>
      </c>
      <c r="B349" t="s">
        <v>1559</v>
      </c>
      <c r="C349">
        <v>261</v>
      </c>
      <c r="D349">
        <v>9002</v>
      </c>
      <c r="E349" t="s">
        <v>157</v>
      </c>
      <c r="F349" t="s">
        <v>229</v>
      </c>
      <c r="G349" t="s">
        <v>230</v>
      </c>
      <c r="H349">
        <v>-34</v>
      </c>
      <c r="I349">
        <f>SUMIF($D$2:D349, D349, $H$2:H349)</f>
        <v>114</v>
      </c>
      <c r="J349" t="s">
        <v>61</v>
      </c>
      <c r="K349">
        <v>6.5</v>
      </c>
      <c r="L349">
        <f>ABS(Tabela4[[#This Row],[Quantidade]]*Tabela4[[#This Row],[Valor Unitario]])</f>
        <v>221</v>
      </c>
      <c r="M349" t="s">
        <v>1560</v>
      </c>
    </row>
    <row r="350" spans="1:13" hidden="1" x14ac:dyDescent="0.25">
      <c r="A350" s="17">
        <v>46130</v>
      </c>
      <c r="B350" t="s">
        <v>855</v>
      </c>
      <c r="C350">
        <v>261</v>
      </c>
      <c r="D350">
        <v>3002</v>
      </c>
      <c r="E350" t="s">
        <v>105</v>
      </c>
      <c r="F350" t="s">
        <v>229</v>
      </c>
      <c r="G350" t="s">
        <v>230</v>
      </c>
      <c r="H350">
        <v>-85</v>
      </c>
      <c r="I350">
        <f>SUMIF($D$2:D350, D350, $H$2:H350)</f>
        <v>-40</v>
      </c>
      <c r="J350" t="s">
        <v>61</v>
      </c>
      <c r="K350">
        <v>95</v>
      </c>
      <c r="L350">
        <f>ABS(Tabela4[[#This Row],[Quantidade]]*Tabela4[[#This Row],[Valor Unitario]])</f>
        <v>8075</v>
      </c>
      <c r="M350" t="s">
        <v>856</v>
      </c>
    </row>
    <row r="351" spans="1:13" hidden="1" x14ac:dyDescent="0.25">
      <c r="A351" s="17">
        <v>46130</v>
      </c>
      <c r="B351" t="s">
        <v>951</v>
      </c>
      <c r="C351">
        <v>261</v>
      </c>
      <c r="D351">
        <v>4001</v>
      </c>
      <c r="E351" t="s">
        <v>111</v>
      </c>
      <c r="F351" t="s">
        <v>229</v>
      </c>
      <c r="G351" t="s">
        <v>230</v>
      </c>
      <c r="H351">
        <v>-57</v>
      </c>
      <c r="I351">
        <f>SUMIF($D$2:D351, D351, $H$2:H351)</f>
        <v>4</v>
      </c>
      <c r="J351" t="s">
        <v>61</v>
      </c>
      <c r="K351">
        <v>3200</v>
      </c>
      <c r="L351">
        <f>ABS(Tabela4[[#This Row],[Quantidade]]*Tabela4[[#This Row],[Valor Unitario]])</f>
        <v>182400</v>
      </c>
      <c r="M351" t="s">
        <v>952</v>
      </c>
    </row>
    <row r="352" spans="1:13" hidden="1" x14ac:dyDescent="0.25">
      <c r="A352" s="17">
        <v>46130</v>
      </c>
      <c r="B352" t="s">
        <v>1303</v>
      </c>
      <c r="C352">
        <v>261</v>
      </c>
      <c r="D352">
        <v>6003</v>
      </c>
      <c r="E352" t="s">
        <v>136</v>
      </c>
      <c r="F352" t="s">
        <v>229</v>
      </c>
      <c r="G352" t="s">
        <v>230</v>
      </c>
      <c r="H352">
        <v>-40</v>
      </c>
      <c r="I352">
        <f>SUMIF($D$2:D352, D352, $H$2:H352)</f>
        <v>-12</v>
      </c>
      <c r="J352" t="s">
        <v>103</v>
      </c>
      <c r="K352">
        <v>85</v>
      </c>
      <c r="L352">
        <f>ABS(Tabela4[[#This Row],[Quantidade]]*Tabela4[[#This Row],[Valor Unitario]])</f>
        <v>3400</v>
      </c>
      <c r="M352" t="s">
        <v>1304</v>
      </c>
    </row>
    <row r="353" spans="1:13" hidden="1" x14ac:dyDescent="0.25">
      <c r="A353" s="17">
        <v>46131</v>
      </c>
      <c r="B353" t="s">
        <v>887</v>
      </c>
      <c r="C353">
        <v>261</v>
      </c>
      <c r="D353">
        <v>3003</v>
      </c>
      <c r="E353" t="s">
        <v>107</v>
      </c>
      <c r="F353" t="s">
        <v>229</v>
      </c>
      <c r="G353" t="s">
        <v>230</v>
      </c>
      <c r="H353">
        <v>-29</v>
      </c>
      <c r="I353">
        <f>SUMIF($D$2:D353, D353, $H$2:H353)</f>
        <v>80</v>
      </c>
      <c r="J353" t="s">
        <v>61</v>
      </c>
      <c r="K353">
        <v>2450</v>
      </c>
      <c r="L353">
        <f>ABS(Tabela4[[#This Row],[Quantidade]]*Tabela4[[#This Row],[Valor Unitario]])</f>
        <v>71050</v>
      </c>
      <c r="M353" t="s">
        <v>888</v>
      </c>
    </row>
    <row r="354" spans="1:13" hidden="1" x14ac:dyDescent="0.25">
      <c r="A354" s="17">
        <v>46133</v>
      </c>
      <c r="B354" t="s">
        <v>503</v>
      </c>
      <c r="C354">
        <v>261</v>
      </c>
      <c r="D354">
        <v>2009</v>
      </c>
      <c r="E354" t="s">
        <v>80</v>
      </c>
      <c r="F354" t="s">
        <v>229</v>
      </c>
      <c r="G354" t="s">
        <v>230</v>
      </c>
      <c r="H354">
        <v>-19</v>
      </c>
      <c r="I354">
        <f>SUMIF($D$2:D354, D354, $H$2:H354)</f>
        <v>72</v>
      </c>
      <c r="J354" t="s">
        <v>61</v>
      </c>
      <c r="K354">
        <v>1650</v>
      </c>
      <c r="L354">
        <f>ABS(Tabela4[[#This Row],[Quantidade]]*Tabela4[[#This Row],[Valor Unitario]])</f>
        <v>31350</v>
      </c>
      <c r="M354" t="s">
        <v>504</v>
      </c>
    </row>
    <row r="355" spans="1:13" hidden="1" x14ac:dyDescent="0.25">
      <c r="A355" s="17">
        <v>46133</v>
      </c>
      <c r="B355" t="s">
        <v>1431</v>
      </c>
      <c r="C355">
        <v>261</v>
      </c>
      <c r="D355">
        <v>7003</v>
      </c>
      <c r="E355" t="s">
        <v>145</v>
      </c>
      <c r="F355" t="s">
        <v>229</v>
      </c>
      <c r="G355" t="s">
        <v>230</v>
      </c>
      <c r="H355">
        <v>-47</v>
      </c>
      <c r="I355">
        <f>SUMIF($D$2:D355, D355, $H$2:H355)</f>
        <v>78</v>
      </c>
      <c r="J355" t="s">
        <v>61</v>
      </c>
      <c r="K355">
        <v>130</v>
      </c>
      <c r="L355">
        <f>ABS(Tabela4[[#This Row],[Quantidade]]*Tabela4[[#This Row],[Valor Unitario]])</f>
        <v>6110</v>
      </c>
      <c r="M355" t="s">
        <v>1432</v>
      </c>
    </row>
    <row r="356" spans="1:13" hidden="1" x14ac:dyDescent="0.25">
      <c r="A356" s="17">
        <v>46133</v>
      </c>
      <c r="B356" t="s">
        <v>1463</v>
      </c>
      <c r="C356">
        <v>261</v>
      </c>
      <c r="D356">
        <v>8001</v>
      </c>
      <c r="E356" t="s">
        <v>147</v>
      </c>
      <c r="F356" t="s">
        <v>229</v>
      </c>
      <c r="G356" t="s">
        <v>230</v>
      </c>
      <c r="H356">
        <v>-1</v>
      </c>
      <c r="I356">
        <f>SUMIF($D$2:D356, D356, $H$2:H356)</f>
        <v>-50</v>
      </c>
      <c r="J356" t="s">
        <v>149</v>
      </c>
      <c r="K356">
        <v>28</v>
      </c>
      <c r="L356">
        <f>ABS(Tabela4[[#This Row],[Quantidade]]*Tabela4[[#This Row],[Valor Unitario]])</f>
        <v>28</v>
      </c>
      <c r="M356" t="s">
        <v>1464</v>
      </c>
    </row>
    <row r="357" spans="1:13" hidden="1" x14ac:dyDescent="0.25">
      <c r="A357" s="17">
        <v>46134</v>
      </c>
      <c r="B357" t="s">
        <v>376</v>
      </c>
      <c r="C357">
        <v>261</v>
      </c>
      <c r="D357">
        <v>2004</v>
      </c>
      <c r="E357" t="s">
        <v>69</v>
      </c>
      <c r="F357" t="s">
        <v>229</v>
      </c>
      <c r="G357" t="s">
        <v>230</v>
      </c>
      <c r="H357">
        <v>-15</v>
      </c>
      <c r="I357">
        <f>SUMIF($D$2:D357, D357, $H$2:H357)</f>
        <v>12</v>
      </c>
      <c r="J357" t="s">
        <v>61</v>
      </c>
      <c r="K357">
        <v>11800</v>
      </c>
      <c r="L357">
        <f>ABS(Tabela4[[#This Row],[Quantidade]]*Tabela4[[#This Row],[Valor Unitario]])</f>
        <v>177000</v>
      </c>
      <c r="M357" t="s">
        <v>286</v>
      </c>
    </row>
    <row r="358" spans="1:13" hidden="1" x14ac:dyDescent="0.25">
      <c r="A358" s="17">
        <v>46134</v>
      </c>
      <c r="B358" t="s">
        <v>439</v>
      </c>
      <c r="C358">
        <v>261</v>
      </c>
      <c r="D358">
        <v>2007</v>
      </c>
      <c r="E358" t="s">
        <v>76</v>
      </c>
      <c r="F358" t="s">
        <v>229</v>
      </c>
      <c r="G358" t="s">
        <v>230</v>
      </c>
      <c r="H358">
        <v>-79</v>
      </c>
      <c r="I358">
        <f>SUMIF($D$2:D358, D358, $H$2:H358)</f>
        <v>47</v>
      </c>
      <c r="J358" t="s">
        <v>61</v>
      </c>
      <c r="K358">
        <v>1980</v>
      </c>
      <c r="L358">
        <f>ABS(Tabela4[[#This Row],[Quantidade]]*Tabela4[[#This Row],[Valor Unitario]])</f>
        <v>156420</v>
      </c>
      <c r="M358" t="s">
        <v>440</v>
      </c>
    </row>
    <row r="359" spans="1:13" hidden="1" x14ac:dyDescent="0.25">
      <c r="A359" s="17">
        <v>46134</v>
      </c>
      <c r="B359" t="s">
        <v>1111</v>
      </c>
      <c r="C359">
        <v>261</v>
      </c>
      <c r="D359">
        <v>5004</v>
      </c>
      <c r="E359" t="s">
        <v>123</v>
      </c>
      <c r="F359" t="s">
        <v>229</v>
      </c>
      <c r="G359" t="s">
        <v>230</v>
      </c>
      <c r="H359">
        <v>-6</v>
      </c>
      <c r="I359">
        <f>SUMIF($D$2:D359, D359, $H$2:H359)</f>
        <v>95</v>
      </c>
      <c r="J359" t="s">
        <v>61</v>
      </c>
      <c r="K359">
        <v>1350</v>
      </c>
      <c r="L359">
        <f>ABS(Tabela4[[#This Row],[Quantidade]]*Tabela4[[#This Row],[Valor Unitario]])</f>
        <v>8100</v>
      </c>
      <c r="M359" t="s">
        <v>1112</v>
      </c>
    </row>
    <row r="360" spans="1:13" hidden="1" x14ac:dyDescent="0.25">
      <c r="A360" s="17">
        <v>46134</v>
      </c>
      <c r="B360" t="s">
        <v>1367</v>
      </c>
      <c r="C360">
        <v>261</v>
      </c>
      <c r="D360">
        <v>7001</v>
      </c>
      <c r="E360" t="s">
        <v>140</v>
      </c>
      <c r="F360" t="s">
        <v>229</v>
      </c>
      <c r="G360" t="s">
        <v>230</v>
      </c>
      <c r="H360">
        <v>-51</v>
      </c>
      <c r="I360">
        <f>SUMIF($D$2:D360, D360, $H$2:H360)</f>
        <v>-12</v>
      </c>
      <c r="J360" t="s">
        <v>61</v>
      </c>
      <c r="K360">
        <v>210</v>
      </c>
      <c r="L360">
        <f>ABS(Tabela4[[#This Row],[Quantidade]]*Tabela4[[#This Row],[Valor Unitario]])</f>
        <v>10710</v>
      </c>
      <c r="M360" t="s">
        <v>1368</v>
      </c>
    </row>
    <row r="361" spans="1:13" hidden="1" x14ac:dyDescent="0.25">
      <c r="A361" s="17">
        <v>46135</v>
      </c>
      <c r="B361" t="s">
        <v>408</v>
      </c>
      <c r="C361">
        <v>261</v>
      </c>
      <c r="D361">
        <v>2006</v>
      </c>
      <c r="E361" t="s">
        <v>74</v>
      </c>
      <c r="F361" t="s">
        <v>229</v>
      </c>
      <c r="G361" t="s">
        <v>230</v>
      </c>
      <c r="H361">
        <v>-6</v>
      </c>
      <c r="I361">
        <f>SUMIF($D$2:D361, D361, $H$2:H361)</f>
        <v>97</v>
      </c>
      <c r="J361" t="s">
        <v>61</v>
      </c>
      <c r="K361">
        <v>2870</v>
      </c>
      <c r="L361">
        <f>ABS(Tabela4[[#This Row],[Quantidade]]*Tabela4[[#This Row],[Valor Unitario]])</f>
        <v>17220</v>
      </c>
      <c r="M361" t="s">
        <v>318</v>
      </c>
    </row>
    <row r="362" spans="1:13" hidden="1" x14ac:dyDescent="0.25">
      <c r="A362" s="17">
        <v>46135</v>
      </c>
      <c r="B362" t="s">
        <v>1207</v>
      </c>
      <c r="C362">
        <v>261</v>
      </c>
      <c r="D362">
        <v>5007</v>
      </c>
      <c r="E362" t="s">
        <v>129</v>
      </c>
      <c r="F362" t="s">
        <v>229</v>
      </c>
      <c r="G362" t="s">
        <v>230</v>
      </c>
      <c r="H362">
        <v>-17</v>
      </c>
      <c r="I362">
        <f>SUMIF($D$2:D362, D362, $H$2:H362)</f>
        <v>-114</v>
      </c>
      <c r="J362" t="s">
        <v>61</v>
      </c>
      <c r="K362">
        <v>340</v>
      </c>
      <c r="L362">
        <f>ABS(Tabela4[[#This Row],[Quantidade]]*Tabela4[[#This Row],[Valor Unitario]])</f>
        <v>5780</v>
      </c>
      <c r="M362" t="s">
        <v>1208</v>
      </c>
    </row>
    <row r="363" spans="1:13" hidden="1" x14ac:dyDescent="0.25">
      <c r="A363" s="17">
        <v>46136</v>
      </c>
      <c r="B363" t="s">
        <v>695</v>
      </c>
      <c r="C363">
        <v>261</v>
      </c>
      <c r="D363">
        <v>2358</v>
      </c>
      <c r="E363" t="s">
        <v>93</v>
      </c>
      <c r="F363" t="s">
        <v>229</v>
      </c>
      <c r="G363" t="s">
        <v>230</v>
      </c>
      <c r="H363">
        <v>-55</v>
      </c>
      <c r="I363">
        <f>SUMIF($D$2:D363, D363, $H$2:H363)</f>
        <v>25</v>
      </c>
      <c r="J363" t="s">
        <v>61</v>
      </c>
      <c r="K363">
        <v>890</v>
      </c>
      <c r="L363">
        <f>ABS(Tabela4[[#This Row],[Quantidade]]*Tabela4[[#This Row],[Valor Unitario]])</f>
        <v>48950</v>
      </c>
      <c r="M363" t="s">
        <v>696</v>
      </c>
    </row>
    <row r="364" spans="1:13" hidden="1" x14ac:dyDescent="0.25">
      <c r="A364" s="17">
        <v>46136</v>
      </c>
      <c r="B364" t="s">
        <v>791</v>
      </c>
      <c r="C364">
        <v>261</v>
      </c>
      <c r="D364">
        <v>2361</v>
      </c>
      <c r="E364" t="s">
        <v>99</v>
      </c>
      <c r="F364" t="s">
        <v>229</v>
      </c>
      <c r="G364" t="s">
        <v>230</v>
      </c>
      <c r="H364">
        <v>-74</v>
      </c>
      <c r="I364">
        <f>SUMIF($D$2:D364, D364, $H$2:H364)</f>
        <v>-12</v>
      </c>
      <c r="J364" t="s">
        <v>61</v>
      </c>
      <c r="K364">
        <v>68</v>
      </c>
      <c r="L364">
        <f>ABS(Tabela4[[#This Row],[Quantidade]]*Tabela4[[#This Row],[Valor Unitario]])</f>
        <v>5032</v>
      </c>
      <c r="M364" t="s">
        <v>792</v>
      </c>
    </row>
    <row r="365" spans="1:13" hidden="1" x14ac:dyDescent="0.25">
      <c r="A365" s="17">
        <v>46136</v>
      </c>
      <c r="B365" t="s">
        <v>1015</v>
      </c>
      <c r="C365">
        <v>261</v>
      </c>
      <c r="D365">
        <v>5001</v>
      </c>
      <c r="E365" t="s">
        <v>116</v>
      </c>
      <c r="F365" t="s">
        <v>229</v>
      </c>
      <c r="G365" t="s">
        <v>230</v>
      </c>
      <c r="H365">
        <v>-63</v>
      </c>
      <c r="I365">
        <f>SUMIF($D$2:D365, D365, $H$2:H365)</f>
        <v>88</v>
      </c>
      <c r="J365" t="s">
        <v>61</v>
      </c>
      <c r="K365">
        <v>32500</v>
      </c>
      <c r="L365">
        <f>ABS(Tabela4[[#This Row],[Quantidade]]*Tabela4[[#This Row],[Valor Unitario]])</f>
        <v>2047500</v>
      </c>
      <c r="M365" t="s">
        <v>1016</v>
      </c>
    </row>
    <row r="366" spans="1:13" hidden="1" x14ac:dyDescent="0.25">
      <c r="A366" s="17">
        <v>46136</v>
      </c>
      <c r="B366" t="s">
        <v>1271</v>
      </c>
      <c r="C366">
        <v>261</v>
      </c>
      <c r="D366">
        <v>6002</v>
      </c>
      <c r="E366" t="s">
        <v>134</v>
      </c>
      <c r="F366" t="s">
        <v>229</v>
      </c>
      <c r="G366" t="s">
        <v>230</v>
      </c>
      <c r="H366">
        <v>-68</v>
      </c>
      <c r="I366">
        <f>SUMIF($D$2:D366, D366, $H$2:H366)</f>
        <v>21</v>
      </c>
      <c r="J366" t="s">
        <v>61</v>
      </c>
      <c r="K366">
        <v>6900</v>
      </c>
      <c r="L366">
        <f>ABS(Tabela4[[#This Row],[Quantidade]]*Tabela4[[#This Row],[Valor Unitario]])</f>
        <v>469200</v>
      </c>
      <c r="M366" t="s">
        <v>1272</v>
      </c>
    </row>
    <row r="367" spans="1:13" hidden="1" x14ac:dyDescent="0.25">
      <c r="A367" s="17">
        <v>46137</v>
      </c>
      <c r="B367" t="s">
        <v>983</v>
      </c>
      <c r="C367">
        <v>261</v>
      </c>
      <c r="D367">
        <v>4002</v>
      </c>
      <c r="E367" t="s">
        <v>114</v>
      </c>
      <c r="F367" t="s">
        <v>229</v>
      </c>
      <c r="G367" t="s">
        <v>230</v>
      </c>
      <c r="H367">
        <v>-63</v>
      </c>
      <c r="I367">
        <f>SUMIF($D$2:D367, D367, $H$2:H367)</f>
        <v>-22</v>
      </c>
      <c r="J367" t="s">
        <v>61</v>
      </c>
      <c r="K367">
        <v>4100</v>
      </c>
      <c r="L367">
        <f>ABS(Tabela4[[#This Row],[Quantidade]]*Tabela4[[#This Row],[Valor Unitario]])</f>
        <v>258300</v>
      </c>
      <c r="M367" t="s">
        <v>984</v>
      </c>
    </row>
    <row r="368" spans="1:13" hidden="1" x14ac:dyDescent="0.25">
      <c r="A368" s="17">
        <v>46137</v>
      </c>
      <c r="B368" t="s">
        <v>1079</v>
      </c>
      <c r="C368">
        <v>261</v>
      </c>
      <c r="D368">
        <v>5003</v>
      </c>
      <c r="E368" t="s">
        <v>121</v>
      </c>
      <c r="F368" t="s">
        <v>229</v>
      </c>
      <c r="G368" t="s">
        <v>230</v>
      </c>
      <c r="H368">
        <v>-51</v>
      </c>
      <c r="I368">
        <f>SUMIF($D$2:D368, D368, $H$2:H368)</f>
        <v>63</v>
      </c>
      <c r="J368" t="s">
        <v>61</v>
      </c>
      <c r="K368">
        <v>8900</v>
      </c>
      <c r="L368">
        <f>ABS(Tabela4[[#This Row],[Quantidade]]*Tabela4[[#This Row],[Valor Unitario]])</f>
        <v>453900</v>
      </c>
      <c r="M368" t="s">
        <v>1080</v>
      </c>
    </row>
    <row r="369" spans="1:13" hidden="1" x14ac:dyDescent="0.25">
      <c r="A369" s="17">
        <v>46137</v>
      </c>
      <c r="B369" t="s">
        <v>1495</v>
      </c>
      <c r="C369">
        <v>261</v>
      </c>
      <c r="D369">
        <v>8002</v>
      </c>
      <c r="E369" t="s">
        <v>151</v>
      </c>
      <c r="F369" t="s">
        <v>229</v>
      </c>
      <c r="G369" t="s">
        <v>230</v>
      </c>
      <c r="H369">
        <v>-17</v>
      </c>
      <c r="I369">
        <f>SUMIF($D$2:D369, D369, $H$2:H369)</f>
        <v>-22</v>
      </c>
      <c r="J369" t="s">
        <v>152</v>
      </c>
      <c r="K369">
        <v>32</v>
      </c>
      <c r="L369">
        <f>ABS(Tabela4[[#This Row],[Quantidade]]*Tabela4[[#This Row],[Valor Unitario]])</f>
        <v>544</v>
      </c>
      <c r="M369" t="s">
        <v>1496</v>
      </c>
    </row>
    <row r="370" spans="1:13" hidden="1" x14ac:dyDescent="0.25">
      <c r="A370" s="17">
        <v>46137</v>
      </c>
      <c r="B370" t="s">
        <v>1655</v>
      </c>
      <c r="C370">
        <v>261</v>
      </c>
      <c r="D370">
        <v>9005</v>
      </c>
      <c r="E370" t="s">
        <v>163</v>
      </c>
      <c r="F370" t="s">
        <v>229</v>
      </c>
      <c r="G370" t="s">
        <v>230</v>
      </c>
      <c r="H370">
        <v>-70</v>
      </c>
      <c r="I370">
        <f>SUMIF($D$2:D370, D370, $H$2:H370)</f>
        <v>-5</v>
      </c>
      <c r="J370" t="s">
        <v>61</v>
      </c>
      <c r="K370">
        <v>8.9</v>
      </c>
      <c r="L370">
        <f>ABS(Tabela4[[#This Row],[Quantidade]]*Tabela4[[#This Row],[Valor Unitario]])</f>
        <v>623</v>
      </c>
      <c r="M370" t="s">
        <v>1656</v>
      </c>
    </row>
    <row r="371" spans="1:13" hidden="1" x14ac:dyDescent="0.25">
      <c r="A371" s="17">
        <v>46138</v>
      </c>
      <c r="B371" t="s">
        <v>1335</v>
      </c>
      <c r="C371">
        <v>261</v>
      </c>
      <c r="D371">
        <v>6004</v>
      </c>
      <c r="E371" t="s">
        <v>138</v>
      </c>
      <c r="F371" t="s">
        <v>229</v>
      </c>
      <c r="G371" t="s">
        <v>230</v>
      </c>
      <c r="H371">
        <v>-30</v>
      </c>
      <c r="I371">
        <f>SUMIF($D$2:D371, D371, $H$2:H371)</f>
        <v>176</v>
      </c>
      <c r="J371" t="s">
        <v>61</v>
      </c>
      <c r="K371">
        <v>2650</v>
      </c>
      <c r="L371">
        <f>ABS(Tabela4[[#This Row],[Quantidade]]*Tabela4[[#This Row],[Valor Unitario]])</f>
        <v>79500</v>
      </c>
      <c r="M371" t="s">
        <v>1336</v>
      </c>
    </row>
    <row r="372" spans="1:13" hidden="1" x14ac:dyDescent="0.25">
      <c r="A372" s="17">
        <v>46139</v>
      </c>
      <c r="B372" t="s">
        <v>823</v>
      </c>
      <c r="C372">
        <v>261</v>
      </c>
      <c r="D372">
        <v>3001</v>
      </c>
      <c r="E372" t="s">
        <v>101</v>
      </c>
      <c r="F372" t="s">
        <v>229</v>
      </c>
      <c r="G372" t="s">
        <v>230</v>
      </c>
      <c r="H372">
        <v>-23</v>
      </c>
      <c r="I372">
        <f>SUMIF($D$2:D372, D372, $H$2:H372)</f>
        <v>202</v>
      </c>
      <c r="J372" t="s">
        <v>103</v>
      </c>
      <c r="K372">
        <v>320</v>
      </c>
      <c r="L372">
        <f>ABS(Tabela4[[#This Row],[Quantidade]]*Tabela4[[#This Row],[Valor Unitario]])</f>
        <v>7360</v>
      </c>
      <c r="M372" t="s">
        <v>824</v>
      </c>
    </row>
    <row r="373" spans="1:13" hidden="1" x14ac:dyDescent="0.25">
      <c r="A373" s="17">
        <v>46139</v>
      </c>
      <c r="B373" t="s">
        <v>1143</v>
      </c>
      <c r="C373">
        <v>261</v>
      </c>
      <c r="D373">
        <v>5005</v>
      </c>
      <c r="E373" t="s">
        <v>125</v>
      </c>
      <c r="F373" t="s">
        <v>229</v>
      </c>
      <c r="G373" t="s">
        <v>230</v>
      </c>
      <c r="H373">
        <v>-6</v>
      </c>
      <c r="I373">
        <f>SUMIF($D$2:D373, D373, $H$2:H373)</f>
        <v>69</v>
      </c>
      <c r="J373" t="s">
        <v>61</v>
      </c>
      <c r="K373">
        <v>780</v>
      </c>
      <c r="L373">
        <f>ABS(Tabela4[[#This Row],[Quantidade]]*Tabela4[[#This Row],[Valor Unitario]])</f>
        <v>4680</v>
      </c>
      <c r="M373" t="s">
        <v>1144</v>
      </c>
    </row>
    <row r="374" spans="1:13" hidden="1" x14ac:dyDescent="0.25">
      <c r="A374" s="17">
        <v>46139</v>
      </c>
      <c r="B374" t="s">
        <v>1175</v>
      </c>
      <c r="C374">
        <v>261</v>
      </c>
      <c r="D374">
        <v>5006</v>
      </c>
      <c r="E374" t="s">
        <v>127</v>
      </c>
      <c r="F374" t="s">
        <v>229</v>
      </c>
      <c r="G374" t="s">
        <v>230</v>
      </c>
      <c r="H374">
        <v>-52</v>
      </c>
      <c r="I374">
        <f>SUMIF($D$2:D374, D374, $H$2:H374)</f>
        <v>48</v>
      </c>
      <c r="J374" t="s">
        <v>103</v>
      </c>
      <c r="K374">
        <v>22</v>
      </c>
      <c r="L374">
        <f>ABS(Tabela4[[#This Row],[Quantidade]]*Tabela4[[#This Row],[Valor Unitario]])</f>
        <v>1144</v>
      </c>
      <c r="M374" t="s">
        <v>1176</v>
      </c>
    </row>
    <row r="375" spans="1:13" hidden="1" x14ac:dyDescent="0.25">
      <c r="A375" s="17">
        <v>46140</v>
      </c>
      <c r="B375" t="s">
        <v>567</v>
      </c>
      <c r="C375">
        <v>261</v>
      </c>
      <c r="D375">
        <v>2011</v>
      </c>
      <c r="E375" t="s">
        <v>84</v>
      </c>
      <c r="F375" t="s">
        <v>229</v>
      </c>
      <c r="G375" t="s">
        <v>230</v>
      </c>
      <c r="H375">
        <v>-21</v>
      </c>
      <c r="I375">
        <f>SUMIF($D$2:D375, D375, $H$2:H375)</f>
        <v>5</v>
      </c>
      <c r="J375" t="s">
        <v>61</v>
      </c>
      <c r="K375">
        <v>9800</v>
      </c>
      <c r="L375">
        <f>ABS(Tabela4[[#This Row],[Quantidade]]*Tabela4[[#This Row],[Valor Unitario]])</f>
        <v>205800</v>
      </c>
      <c r="M375" t="s">
        <v>568</v>
      </c>
    </row>
    <row r="376" spans="1:13" hidden="1" x14ac:dyDescent="0.25">
      <c r="A376" s="17">
        <v>46140</v>
      </c>
      <c r="B376" t="s">
        <v>919</v>
      </c>
      <c r="C376">
        <v>261</v>
      </c>
      <c r="D376">
        <v>3004</v>
      </c>
      <c r="E376" t="s">
        <v>109</v>
      </c>
      <c r="F376" t="s">
        <v>229</v>
      </c>
      <c r="G376" t="s">
        <v>230</v>
      </c>
      <c r="H376">
        <v>-58</v>
      </c>
      <c r="I376">
        <f>SUMIF($D$2:D376, D376, $H$2:H376)</f>
        <v>102</v>
      </c>
      <c r="J376" t="s">
        <v>61</v>
      </c>
      <c r="K376">
        <v>2180</v>
      </c>
      <c r="L376">
        <f>ABS(Tabela4[[#This Row],[Quantidade]]*Tabela4[[#This Row],[Valor Unitario]])</f>
        <v>126440</v>
      </c>
      <c r="M376" t="s">
        <v>920</v>
      </c>
    </row>
    <row r="377" spans="1:13" hidden="1" x14ac:dyDescent="0.25">
      <c r="A377" s="17">
        <v>46140</v>
      </c>
      <c r="B377" t="s">
        <v>1239</v>
      </c>
      <c r="C377">
        <v>261</v>
      </c>
      <c r="D377">
        <v>6001</v>
      </c>
      <c r="E377" t="s">
        <v>131</v>
      </c>
      <c r="F377" t="s">
        <v>229</v>
      </c>
      <c r="G377" t="s">
        <v>230</v>
      </c>
      <c r="H377">
        <v>-20</v>
      </c>
      <c r="I377">
        <f>SUMIF($D$2:D377, D377, $H$2:H377)</f>
        <v>-57</v>
      </c>
      <c r="J377" t="s">
        <v>61</v>
      </c>
      <c r="K377">
        <v>15800</v>
      </c>
      <c r="L377">
        <f>ABS(Tabela4[[#This Row],[Quantidade]]*Tabela4[[#This Row],[Valor Unitario]])</f>
        <v>316000</v>
      </c>
      <c r="M377" t="s">
        <v>1240</v>
      </c>
    </row>
    <row r="378" spans="1:13" hidden="1" x14ac:dyDescent="0.25">
      <c r="A378" s="17">
        <v>46140</v>
      </c>
      <c r="B378" t="s">
        <v>1591</v>
      </c>
      <c r="C378">
        <v>261</v>
      </c>
      <c r="D378">
        <v>9003</v>
      </c>
      <c r="E378" t="s">
        <v>159</v>
      </c>
      <c r="F378" t="s">
        <v>229</v>
      </c>
      <c r="G378" t="s">
        <v>230</v>
      </c>
      <c r="H378">
        <v>-33</v>
      </c>
      <c r="I378">
        <f>SUMIF($D$2:D378, D378, $H$2:H378)</f>
        <v>36</v>
      </c>
      <c r="J378" t="s">
        <v>61</v>
      </c>
      <c r="K378">
        <v>2.2000000000000002</v>
      </c>
      <c r="L378">
        <f>ABS(Tabela4[[#This Row],[Quantidade]]*Tabela4[[#This Row],[Valor Unitario]])</f>
        <v>72.600000000000009</v>
      </c>
      <c r="M378" t="s">
        <v>1592</v>
      </c>
    </row>
    <row r="379" spans="1:13" hidden="1" x14ac:dyDescent="0.25">
      <c r="A379" s="17">
        <v>46141</v>
      </c>
      <c r="B379" t="s">
        <v>631</v>
      </c>
      <c r="C379">
        <v>261</v>
      </c>
      <c r="D379">
        <v>2356</v>
      </c>
      <c r="E379" t="s">
        <v>88</v>
      </c>
      <c r="F379" t="s">
        <v>229</v>
      </c>
      <c r="G379" t="s">
        <v>230</v>
      </c>
      <c r="H379">
        <v>-27</v>
      </c>
      <c r="I379">
        <f>SUMIF($D$2:D379, D379, $H$2:H379)</f>
        <v>51</v>
      </c>
      <c r="J379" t="s">
        <v>61</v>
      </c>
      <c r="K379">
        <v>145</v>
      </c>
      <c r="L379">
        <f>ABS(Tabela4[[#This Row],[Quantidade]]*Tabela4[[#This Row],[Valor Unitario]])</f>
        <v>3915</v>
      </c>
      <c r="M379" t="s">
        <v>632</v>
      </c>
    </row>
    <row r="380" spans="1:13" hidden="1" x14ac:dyDescent="0.25">
      <c r="A380" s="17">
        <v>46141</v>
      </c>
      <c r="B380" t="s">
        <v>663</v>
      </c>
      <c r="C380">
        <v>261</v>
      </c>
      <c r="D380">
        <v>2357</v>
      </c>
      <c r="E380" t="s">
        <v>91</v>
      </c>
      <c r="F380" t="s">
        <v>229</v>
      </c>
      <c r="G380" t="s">
        <v>230</v>
      </c>
      <c r="H380">
        <v>-92</v>
      </c>
      <c r="I380">
        <f>SUMIF($D$2:D380, D380, $H$2:H380)</f>
        <v>33</v>
      </c>
      <c r="J380" t="s">
        <v>61</v>
      </c>
      <c r="K380">
        <v>210</v>
      </c>
      <c r="L380">
        <f>ABS(Tabela4[[#This Row],[Quantidade]]*Tabela4[[#This Row],[Valor Unitario]])</f>
        <v>19320</v>
      </c>
      <c r="M380" t="s">
        <v>664</v>
      </c>
    </row>
    <row r="381" spans="1:13" hidden="1" x14ac:dyDescent="0.25">
      <c r="A381" s="17">
        <v>46142</v>
      </c>
      <c r="B381" t="s">
        <v>471</v>
      </c>
      <c r="C381">
        <v>261</v>
      </c>
      <c r="D381">
        <v>2008</v>
      </c>
      <c r="E381" t="s">
        <v>78</v>
      </c>
      <c r="F381" t="s">
        <v>229</v>
      </c>
      <c r="G381" t="s">
        <v>230</v>
      </c>
      <c r="H381">
        <v>-20</v>
      </c>
      <c r="I381">
        <f>SUMIF($D$2:D381, D381, $H$2:H381)</f>
        <v>48</v>
      </c>
      <c r="J381" t="s">
        <v>61</v>
      </c>
      <c r="K381">
        <v>24500</v>
      </c>
      <c r="L381">
        <f>ABS(Tabela4[[#This Row],[Quantidade]]*Tabela4[[#This Row],[Valor Unitario]])</f>
        <v>490000</v>
      </c>
      <c r="M381" t="s">
        <v>472</v>
      </c>
    </row>
    <row r="382" spans="1:13" hidden="1" x14ac:dyDescent="0.25">
      <c r="A382" s="17">
        <v>46142</v>
      </c>
      <c r="B382" t="s">
        <v>535</v>
      </c>
      <c r="C382">
        <v>261</v>
      </c>
      <c r="D382">
        <v>2010</v>
      </c>
      <c r="E382" t="s">
        <v>82</v>
      </c>
      <c r="F382" t="s">
        <v>229</v>
      </c>
      <c r="G382" t="s">
        <v>230</v>
      </c>
      <c r="H382">
        <v>-3</v>
      </c>
      <c r="I382">
        <f>SUMIF($D$2:D382, D382, $H$2:H382)</f>
        <v>3</v>
      </c>
      <c r="J382" t="s">
        <v>61</v>
      </c>
      <c r="K382">
        <v>2150</v>
      </c>
      <c r="L382">
        <f>ABS(Tabela4[[#This Row],[Quantidade]]*Tabela4[[#This Row],[Valor Unitario]])</f>
        <v>6450</v>
      </c>
      <c r="M382" t="s">
        <v>536</v>
      </c>
    </row>
    <row r="383" spans="1:13" hidden="1" x14ac:dyDescent="0.25">
      <c r="A383" s="17">
        <v>46142</v>
      </c>
      <c r="B383" t="s">
        <v>599</v>
      </c>
      <c r="C383">
        <v>261</v>
      </c>
      <c r="D383">
        <v>2012</v>
      </c>
      <c r="E383" t="s">
        <v>86</v>
      </c>
      <c r="F383" t="s">
        <v>229</v>
      </c>
      <c r="G383" t="s">
        <v>230</v>
      </c>
      <c r="H383">
        <v>-49</v>
      </c>
      <c r="I383">
        <f>SUMIF($D$2:D383, D383, $H$2:H383)</f>
        <v>75</v>
      </c>
      <c r="J383" t="s">
        <v>61</v>
      </c>
      <c r="K383">
        <v>5400</v>
      </c>
      <c r="L383">
        <f>ABS(Tabela4[[#This Row],[Quantidade]]*Tabela4[[#This Row],[Valor Unitario]])</f>
        <v>264600</v>
      </c>
      <c r="M383" t="s">
        <v>600</v>
      </c>
    </row>
    <row r="384" spans="1:13" hidden="1" x14ac:dyDescent="0.25">
      <c r="A384" s="17">
        <v>46142</v>
      </c>
      <c r="B384" t="s">
        <v>1527</v>
      </c>
      <c r="C384">
        <v>261</v>
      </c>
      <c r="D384">
        <v>9001</v>
      </c>
      <c r="E384" t="s">
        <v>154</v>
      </c>
      <c r="F384" t="s">
        <v>229</v>
      </c>
      <c r="G384" t="s">
        <v>230</v>
      </c>
      <c r="H384">
        <v>-13</v>
      </c>
      <c r="I384">
        <f>SUMIF($D$2:D384, D384, $H$2:H384)</f>
        <v>74</v>
      </c>
      <c r="J384" t="s">
        <v>61</v>
      </c>
      <c r="K384">
        <v>18</v>
      </c>
      <c r="L384">
        <f>ABS(Tabela4[[#This Row],[Quantidade]]*Tabela4[[#This Row],[Valor Unitario]])</f>
        <v>234</v>
      </c>
      <c r="M384" t="s">
        <v>1528</v>
      </c>
    </row>
    <row r="385" spans="1:13" hidden="1" x14ac:dyDescent="0.25">
      <c r="A385" s="17">
        <v>46143</v>
      </c>
      <c r="B385" t="s">
        <v>601</v>
      </c>
      <c r="C385">
        <v>101</v>
      </c>
      <c r="D385">
        <v>2012</v>
      </c>
      <c r="E385" t="s">
        <v>86</v>
      </c>
      <c r="F385" t="s">
        <v>229</v>
      </c>
      <c r="G385" t="s">
        <v>230</v>
      </c>
      <c r="H385">
        <v>44</v>
      </c>
      <c r="I385">
        <f>SUMIF($D$2:D385, D385, $H$2:H385)</f>
        <v>119</v>
      </c>
      <c r="J385" t="s">
        <v>61</v>
      </c>
      <c r="K385">
        <v>5400</v>
      </c>
      <c r="L385">
        <f>ABS(Tabela4[[#This Row],[Quantidade]]*Tabela4[[#This Row],[Valor Unitario]])</f>
        <v>237600</v>
      </c>
      <c r="M385" t="s">
        <v>602</v>
      </c>
    </row>
    <row r="386" spans="1:13" hidden="1" x14ac:dyDescent="0.25">
      <c r="A386" s="17">
        <v>46143</v>
      </c>
      <c r="B386" t="s">
        <v>985</v>
      </c>
      <c r="C386">
        <v>101</v>
      </c>
      <c r="D386">
        <v>4002</v>
      </c>
      <c r="E386" t="s">
        <v>114</v>
      </c>
      <c r="F386" t="s">
        <v>229</v>
      </c>
      <c r="G386" t="s">
        <v>230</v>
      </c>
      <c r="H386">
        <v>73</v>
      </c>
      <c r="I386">
        <f>SUMIF($D$2:D386, D386, $H$2:H386)</f>
        <v>51</v>
      </c>
      <c r="J386" t="s">
        <v>61</v>
      </c>
      <c r="K386">
        <v>4100</v>
      </c>
      <c r="L386">
        <f>ABS(Tabela4[[#This Row],[Quantidade]]*Tabela4[[#This Row],[Valor Unitario]])</f>
        <v>299300</v>
      </c>
      <c r="M386" t="s">
        <v>986</v>
      </c>
    </row>
    <row r="387" spans="1:13" hidden="1" x14ac:dyDescent="0.25">
      <c r="A387" s="17">
        <v>46144</v>
      </c>
      <c r="B387" t="s">
        <v>665</v>
      </c>
      <c r="C387">
        <v>101</v>
      </c>
      <c r="D387">
        <v>2357</v>
      </c>
      <c r="E387" t="s">
        <v>91</v>
      </c>
      <c r="F387" t="s">
        <v>229</v>
      </c>
      <c r="G387" t="s">
        <v>230</v>
      </c>
      <c r="H387">
        <v>66</v>
      </c>
      <c r="I387">
        <f>SUMIF($D$2:D387, D387, $H$2:H387)</f>
        <v>99</v>
      </c>
      <c r="J387" t="s">
        <v>61</v>
      </c>
      <c r="K387">
        <v>210</v>
      </c>
      <c r="L387">
        <f>ABS(Tabela4[[#This Row],[Quantidade]]*Tabela4[[#This Row],[Valor Unitario]])</f>
        <v>13860</v>
      </c>
      <c r="M387" t="s">
        <v>666</v>
      </c>
    </row>
    <row r="388" spans="1:13" hidden="1" x14ac:dyDescent="0.25">
      <c r="A388" s="17">
        <v>46144</v>
      </c>
      <c r="B388" t="s">
        <v>953</v>
      </c>
      <c r="C388">
        <v>101</v>
      </c>
      <c r="D388">
        <v>4001</v>
      </c>
      <c r="E388" t="s">
        <v>111</v>
      </c>
      <c r="F388" t="s">
        <v>229</v>
      </c>
      <c r="G388" t="s">
        <v>230</v>
      </c>
      <c r="H388">
        <v>47</v>
      </c>
      <c r="I388">
        <f>SUMIF($D$2:D388, D388, $H$2:H388)</f>
        <v>51</v>
      </c>
      <c r="J388" t="s">
        <v>61</v>
      </c>
      <c r="K388">
        <v>3200</v>
      </c>
      <c r="L388">
        <f>ABS(Tabela4[[#This Row],[Quantidade]]*Tabela4[[#This Row],[Valor Unitario]])</f>
        <v>150400</v>
      </c>
      <c r="M388" t="s">
        <v>954</v>
      </c>
    </row>
    <row r="389" spans="1:13" hidden="1" x14ac:dyDescent="0.25">
      <c r="A389" s="17">
        <v>46144</v>
      </c>
      <c r="B389" t="s">
        <v>1113</v>
      </c>
      <c r="C389">
        <v>101</v>
      </c>
      <c r="D389">
        <v>5004</v>
      </c>
      <c r="E389" t="s">
        <v>123</v>
      </c>
      <c r="F389" t="s">
        <v>229</v>
      </c>
      <c r="G389" t="s">
        <v>230</v>
      </c>
      <c r="H389">
        <v>6</v>
      </c>
      <c r="I389">
        <f>SUMIF($D$2:D389, D389, $H$2:H389)</f>
        <v>101</v>
      </c>
      <c r="J389" t="s">
        <v>61</v>
      </c>
      <c r="K389">
        <v>1350</v>
      </c>
      <c r="L389">
        <f>ABS(Tabela4[[#This Row],[Quantidade]]*Tabela4[[#This Row],[Valor Unitario]])</f>
        <v>8100</v>
      </c>
      <c r="M389" t="s">
        <v>1114</v>
      </c>
    </row>
    <row r="390" spans="1:13" hidden="1" x14ac:dyDescent="0.25">
      <c r="A390" s="17">
        <v>46144</v>
      </c>
      <c r="B390" t="s">
        <v>1657</v>
      </c>
      <c r="C390">
        <v>101</v>
      </c>
      <c r="D390">
        <v>9005</v>
      </c>
      <c r="E390" t="s">
        <v>163</v>
      </c>
      <c r="F390" t="s">
        <v>229</v>
      </c>
      <c r="G390" t="s">
        <v>230</v>
      </c>
      <c r="H390">
        <v>85</v>
      </c>
      <c r="I390">
        <f>SUMIF($D$2:D390, D390, $H$2:H390)</f>
        <v>80</v>
      </c>
      <c r="J390" t="s">
        <v>61</v>
      </c>
      <c r="K390">
        <v>8.9</v>
      </c>
      <c r="L390">
        <f>ABS(Tabela4[[#This Row],[Quantidade]]*Tabela4[[#This Row],[Valor Unitario]])</f>
        <v>756.5</v>
      </c>
      <c r="M390" t="s">
        <v>1658</v>
      </c>
    </row>
    <row r="391" spans="1:13" hidden="1" x14ac:dyDescent="0.25">
      <c r="A391" s="17">
        <v>46145</v>
      </c>
      <c r="B391" t="s">
        <v>1273</v>
      </c>
      <c r="C391">
        <v>101</v>
      </c>
      <c r="D391">
        <v>6002</v>
      </c>
      <c r="E391" t="s">
        <v>134</v>
      </c>
      <c r="F391" t="s">
        <v>229</v>
      </c>
      <c r="G391" t="s">
        <v>230</v>
      </c>
      <c r="H391">
        <v>84</v>
      </c>
      <c r="I391">
        <f>SUMIF($D$2:D391, D391, $H$2:H391)</f>
        <v>105</v>
      </c>
      <c r="J391" t="s">
        <v>61</v>
      </c>
      <c r="K391">
        <v>6900</v>
      </c>
      <c r="L391">
        <f>ABS(Tabela4[[#This Row],[Quantidade]]*Tabela4[[#This Row],[Valor Unitario]])</f>
        <v>579600</v>
      </c>
      <c r="M391" t="s">
        <v>1274</v>
      </c>
    </row>
    <row r="392" spans="1:13" hidden="1" x14ac:dyDescent="0.25">
      <c r="A392" s="17">
        <v>46145</v>
      </c>
      <c r="B392" t="s">
        <v>1337</v>
      </c>
      <c r="C392">
        <v>101</v>
      </c>
      <c r="D392">
        <v>6004</v>
      </c>
      <c r="E392" t="s">
        <v>138</v>
      </c>
      <c r="F392" t="s">
        <v>229</v>
      </c>
      <c r="G392" t="s">
        <v>230</v>
      </c>
      <c r="H392">
        <v>85</v>
      </c>
      <c r="I392">
        <f>SUMIF($D$2:D392, D392, $H$2:H392)</f>
        <v>261</v>
      </c>
      <c r="J392" t="s">
        <v>61</v>
      </c>
      <c r="K392">
        <v>2650</v>
      </c>
      <c r="L392">
        <f>ABS(Tabela4[[#This Row],[Quantidade]]*Tabela4[[#This Row],[Valor Unitario]])</f>
        <v>225250</v>
      </c>
      <c r="M392" t="s">
        <v>1338</v>
      </c>
    </row>
    <row r="393" spans="1:13" hidden="1" x14ac:dyDescent="0.25">
      <c r="A393" s="17">
        <v>46146</v>
      </c>
      <c r="B393" t="s">
        <v>537</v>
      </c>
      <c r="C393">
        <v>101</v>
      </c>
      <c r="D393">
        <v>2010</v>
      </c>
      <c r="E393" t="s">
        <v>82</v>
      </c>
      <c r="F393" t="s">
        <v>229</v>
      </c>
      <c r="G393" t="s">
        <v>230</v>
      </c>
      <c r="H393">
        <v>24</v>
      </c>
      <c r="I393">
        <f>SUMIF($D$2:D393, D393, $H$2:H393)</f>
        <v>27</v>
      </c>
      <c r="J393" t="s">
        <v>61</v>
      </c>
      <c r="K393">
        <v>2150</v>
      </c>
      <c r="L393">
        <f>ABS(Tabela4[[#This Row],[Quantidade]]*Tabela4[[#This Row],[Valor Unitario]])</f>
        <v>51600</v>
      </c>
      <c r="M393" t="s">
        <v>538</v>
      </c>
    </row>
    <row r="394" spans="1:13" hidden="1" x14ac:dyDescent="0.25">
      <c r="A394" s="17">
        <v>46146</v>
      </c>
      <c r="B394" t="s">
        <v>569</v>
      </c>
      <c r="C394">
        <v>101</v>
      </c>
      <c r="D394">
        <v>2011</v>
      </c>
      <c r="E394" t="s">
        <v>84</v>
      </c>
      <c r="F394" t="s">
        <v>229</v>
      </c>
      <c r="G394" t="s">
        <v>230</v>
      </c>
      <c r="H394">
        <v>8</v>
      </c>
      <c r="I394">
        <f>SUMIF($D$2:D394, D394, $H$2:H394)</f>
        <v>13</v>
      </c>
      <c r="J394" t="s">
        <v>61</v>
      </c>
      <c r="K394">
        <v>9800</v>
      </c>
      <c r="L394">
        <f>ABS(Tabela4[[#This Row],[Quantidade]]*Tabela4[[#This Row],[Valor Unitario]])</f>
        <v>78400</v>
      </c>
      <c r="M394" t="s">
        <v>570</v>
      </c>
    </row>
    <row r="395" spans="1:13" hidden="1" x14ac:dyDescent="0.25">
      <c r="A395" s="17">
        <v>46146</v>
      </c>
      <c r="B395" t="s">
        <v>857</v>
      </c>
      <c r="C395">
        <v>101</v>
      </c>
      <c r="D395">
        <v>3002</v>
      </c>
      <c r="E395" t="s">
        <v>105</v>
      </c>
      <c r="F395" t="s">
        <v>229</v>
      </c>
      <c r="G395" t="s">
        <v>230</v>
      </c>
      <c r="H395">
        <v>53</v>
      </c>
      <c r="I395">
        <f>SUMIF($D$2:D395, D395, $H$2:H395)</f>
        <v>13</v>
      </c>
      <c r="J395" t="s">
        <v>61</v>
      </c>
      <c r="K395">
        <v>95</v>
      </c>
      <c r="L395">
        <f>ABS(Tabela4[[#This Row],[Quantidade]]*Tabela4[[#This Row],[Valor Unitario]])</f>
        <v>5035</v>
      </c>
      <c r="M395" t="s">
        <v>858</v>
      </c>
    </row>
    <row r="396" spans="1:13" hidden="1" x14ac:dyDescent="0.25">
      <c r="A396" s="17">
        <v>46146</v>
      </c>
      <c r="B396" t="s">
        <v>921</v>
      </c>
      <c r="C396">
        <v>101</v>
      </c>
      <c r="D396">
        <v>3004</v>
      </c>
      <c r="E396" t="s">
        <v>109</v>
      </c>
      <c r="F396" t="s">
        <v>229</v>
      </c>
      <c r="G396" t="s">
        <v>230</v>
      </c>
      <c r="H396">
        <v>92</v>
      </c>
      <c r="I396">
        <f>SUMIF($D$2:D396, D396, $H$2:H396)</f>
        <v>194</v>
      </c>
      <c r="J396" t="s">
        <v>61</v>
      </c>
      <c r="K396">
        <v>2180</v>
      </c>
      <c r="L396">
        <f>ABS(Tabela4[[#This Row],[Quantidade]]*Tabela4[[#This Row],[Valor Unitario]])</f>
        <v>200560</v>
      </c>
      <c r="M396" t="s">
        <v>922</v>
      </c>
    </row>
    <row r="397" spans="1:13" hidden="1" x14ac:dyDescent="0.25">
      <c r="A397" s="17">
        <v>46147</v>
      </c>
      <c r="B397" t="s">
        <v>889</v>
      </c>
      <c r="C397">
        <v>101</v>
      </c>
      <c r="D397">
        <v>3003</v>
      </c>
      <c r="E397" t="s">
        <v>107</v>
      </c>
      <c r="F397" t="s">
        <v>229</v>
      </c>
      <c r="G397" t="s">
        <v>230</v>
      </c>
      <c r="H397">
        <v>38</v>
      </c>
      <c r="I397">
        <f>SUMIF($D$2:D397, D397, $H$2:H397)</f>
        <v>118</v>
      </c>
      <c r="J397" t="s">
        <v>61</v>
      </c>
      <c r="K397">
        <v>2450</v>
      </c>
      <c r="L397">
        <f>ABS(Tabela4[[#This Row],[Quantidade]]*Tabela4[[#This Row],[Valor Unitario]])</f>
        <v>93100</v>
      </c>
      <c r="M397" t="s">
        <v>890</v>
      </c>
    </row>
    <row r="398" spans="1:13" hidden="1" x14ac:dyDescent="0.25">
      <c r="A398" s="17">
        <v>46147</v>
      </c>
      <c r="B398" t="s">
        <v>1145</v>
      </c>
      <c r="C398">
        <v>101</v>
      </c>
      <c r="D398">
        <v>5005</v>
      </c>
      <c r="E398" t="s">
        <v>125</v>
      </c>
      <c r="F398" t="s">
        <v>229</v>
      </c>
      <c r="G398" t="s">
        <v>230</v>
      </c>
      <c r="H398">
        <v>70</v>
      </c>
      <c r="I398">
        <f>SUMIF($D$2:D398, D398, $H$2:H398)</f>
        <v>139</v>
      </c>
      <c r="J398" t="s">
        <v>61</v>
      </c>
      <c r="K398">
        <v>780</v>
      </c>
      <c r="L398">
        <f>ABS(Tabela4[[#This Row],[Quantidade]]*Tabela4[[#This Row],[Valor Unitario]])</f>
        <v>54600</v>
      </c>
      <c r="M398" t="s">
        <v>1146</v>
      </c>
    </row>
    <row r="399" spans="1:13" hidden="1" x14ac:dyDescent="0.25">
      <c r="A399" s="17">
        <v>46147</v>
      </c>
      <c r="B399" t="s">
        <v>1305</v>
      </c>
      <c r="C399">
        <v>101</v>
      </c>
      <c r="D399">
        <v>6003</v>
      </c>
      <c r="E399" t="s">
        <v>136</v>
      </c>
      <c r="F399" t="s">
        <v>229</v>
      </c>
      <c r="G399" t="s">
        <v>230</v>
      </c>
      <c r="H399">
        <v>73</v>
      </c>
      <c r="I399">
        <f>SUMIF($D$2:D399, D399, $H$2:H399)</f>
        <v>61</v>
      </c>
      <c r="J399" t="s">
        <v>103</v>
      </c>
      <c r="K399">
        <v>85</v>
      </c>
      <c r="L399">
        <f>ABS(Tabela4[[#This Row],[Quantidade]]*Tabela4[[#This Row],[Valor Unitario]])</f>
        <v>6205</v>
      </c>
      <c r="M399" t="s">
        <v>1306</v>
      </c>
    </row>
    <row r="400" spans="1:13" hidden="1" x14ac:dyDescent="0.25">
      <c r="A400" s="17">
        <v>46149</v>
      </c>
      <c r="B400" t="s">
        <v>473</v>
      </c>
      <c r="C400">
        <v>101</v>
      </c>
      <c r="D400">
        <v>2008</v>
      </c>
      <c r="E400" t="s">
        <v>78</v>
      </c>
      <c r="F400" t="s">
        <v>229</v>
      </c>
      <c r="G400" t="s">
        <v>230</v>
      </c>
      <c r="H400">
        <v>68</v>
      </c>
      <c r="I400">
        <f>SUMIF($D$2:D400, D400, $H$2:H400)</f>
        <v>116</v>
      </c>
      <c r="J400" t="s">
        <v>61</v>
      </c>
      <c r="K400">
        <v>24500</v>
      </c>
      <c r="L400">
        <f>ABS(Tabela4[[#This Row],[Quantidade]]*Tabela4[[#This Row],[Valor Unitario]])</f>
        <v>1666000</v>
      </c>
      <c r="M400" t="s">
        <v>474</v>
      </c>
    </row>
    <row r="401" spans="1:13" hidden="1" x14ac:dyDescent="0.25">
      <c r="A401" s="17">
        <v>46149</v>
      </c>
      <c r="B401" t="s">
        <v>1081</v>
      </c>
      <c r="C401">
        <v>101</v>
      </c>
      <c r="D401">
        <v>5003</v>
      </c>
      <c r="E401" t="s">
        <v>121</v>
      </c>
      <c r="F401" t="s">
        <v>229</v>
      </c>
      <c r="G401" t="s">
        <v>230</v>
      </c>
      <c r="H401">
        <v>38</v>
      </c>
      <c r="I401">
        <f>SUMIF($D$2:D401, D401, $H$2:H401)</f>
        <v>101</v>
      </c>
      <c r="J401" t="s">
        <v>61</v>
      </c>
      <c r="K401">
        <v>8900</v>
      </c>
      <c r="L401">
        <f>ABS(Tabela4[[#This Row],[Quantidade]]*Tabela4[[#This Row],[Valor Unitario]])</f>
        <v>338200</v>
      </c>
      <c r="M401" t="s">
        <v>1082</v>
      </c>
    </row>
    <row r="402" spans="1:13" hidden="1" x14ac:dyDescent="0.25">
      <c r="A402" s="17">
        <v>46149</v>
      </c>
      <c r="B402" t="s">
        <v>1369</v>
      </c>
      <c r="C402">
        <v>101</v>
      </c>
      <c r="D402">
        <v>7001</v>
      </c>
      <c r="E402" t="s">
        <v>140</v>
      </c>
      <c r="F402" t="s">
        <v>229</v>
      </c>
      <c r="G402" t="s">
        <v>230</v>
      </c>
      <c r="H402">
        <v>51</v>
      </c>
      <c r="I402">
        <f>SUMIF($D$2:D402, D402, $H$2:H402)</f>
        <v>39</v>
      </c>
      <c r="J402" t="s">
        <v>61</v>
      </c>
      <c r="K402">
        <v>210</v>
      </c>
      <c r="L402">
        <f>ABS(Tabela4[[#This Row],[Quantidade]]*Tabela4[[#This Row],[Valor Unitario]])</f>
        <v>10710</v>
      </c>
      <c r="M402" t="s">
        <v>1370</v>
      </c>
    </row>
    <row r="403" spans="1:13" hidden="1" x14ac:dyDescent="0.25">
      <c r="A403" s="17">
        <v>46149</v>
      </c>
      <c r="B403" t="s">
        <v>1593</v>
      </c>
      <c r="C403">
        <v>101</v>
      </c>
      <c r="D403">
        <v>9003</v>
      </c>
      <c r="E403" t="s">
        <v>159</v>
      </c>
      <c r="F403" t="s">
        <v>229</v>
      </c>
      <c r="G403" t="s">
        <v>230</v>
      </c>
      <c r="H403">
        <v>48</v>
      </c>
      <c r="I403">
        <f>SUMIF($D$2:D403, D403, $H$2:H403)</f>
        <v>84</v>
      </c>
      <c r="J403" t="s">
        <v>61</v>
      </c>
      <c r="K403">
        <v>2.2000000000000002</v>
      </c>
      <c r="L403">
        <f>ABS(Tabela4[[#This Row],[Quantidade]]*Tabela4[[#This Row],[Valor Unitario]])</f>
        <v>105.60000000000001</v>
      </c>
      <c r="M403" t="s">
        <v>1594</v>
      </c>
    </row>
    <row r="404" spans="1:13" hidden="1" x14ac:dyDescent="0.25">
      <c r="A404" s="17">
        <v>46150</v>
      </c>
      <c r="B404" t="s">
        <v>1177</v>
      </c>
      <c r="C404">
        <v>101</v>
      </c>
      <c r="D404">
        <v>5006</v>
      </c>
      <c r="E404" t="s">
        <v>127</v>
      </c>
      <c r="F404" t="s">
        <v>229</v>
      </c>
      <c r="G404" t="s">
        <v>230</v>
      </c>
      <c r="H404">
        <v>86</v>
      </c>
      <c r="I404">
        <f>SUMIF($D$2:D404, D404, $H$2:H404)</f>
        <v>134</v>
      </c>
      <c r="J404" t="s">
        <v>103</v>
      </c>
      <c r="K404">
        <v>22</v>
      </c>
      <c r="L404">
        <f>ABS(Tabela4[[#This Row],[Quantidade]]*Tabela4[[#This Row],[Valor Unitario]])</f>
        <v>1892</v>
      </c>
      <c r="M404" t="s">
        <v>1178</v>
      </c>
    </row>
    <row r="405" spans="1:13" hidden="1" x14ac:dyDescent="0.25">
      <c r="A405" s="17">
        <v>46151</v>
      </c>
      <c r="B405" t="s">
        <v>505</v>
      </c>
      <c r="C405">
        <v>101</v>
      </c>
      <c r="D405">
        <v>2009</v>
      </c>
      <c r="E405" t="s">
        <v>80</v>
      </c>
      <c r="F405" t="s">
        <v>229</v>
      </c>
      <c r="G405" t="s">
        <v>230</v>
      </c>
      <c r="H405">
        <v>33</v>
      </c>
      <c r="I405">
        <f>SUMIF($D$2:D405, D405, $H$2:H405)</f>
        <v>105</v>
      </c>
      <c r="J405" t="s">
        <v>61</v>
      </c>
      <c r="K405">
        <v>1650</v>
      </c>
      <c r="L405">
        <f>ABS(Tabela4[[#This Row],[Quantidade]]*Tabela4[[#This Row],[Valor Unitario]])</f>
        <v>54450</v>
      </c>
      <c r="M405" t="s">
        <v>506</v>
      </c>
    </row>
    <row r="406" spans="1:13" hidden="1" x14ac:dyDescent="0.25">
      <c r="A406" s="17">
        <v>46151</v>
      </c>
      <c r="B406" t="s">
        <v>825</v>
      </c>
      <c r="C406">
        <v>101</v>
      </c>
      <c r="D406">
        <v>3001</v>
      </c>
      <c r="E406" t="s">
        <v>101</v>
      </c>
      <c r="F406" t="s">
        <v>229</v>
      </c>
      <c r="G406" t="s">
        <v>230</v>
      </c>
      <c r="H406">
        <v>99</v>
      </c>
      <c r="I406">
        <f>SUMIF($D$2:D406, D406, $H$2:H406)</f>
        <v>301</v>
      </c>
      <c r="J406" t="s">
        <v>103</v>
      </c>
      <c r="K406">
        <v>320</v>
      </c>
      <c r="L406">
        <f>ABS(Tabela4[[#This Row],[Quantidade]]*Tabela4[[#This Row],[Valor Unitario]])</f>
        <v>31680</v>
      </c>
      <c r="M406" t="s">
        <v>826</v>
      </c>
    </row>
    <row r="407" spans="1:13" hidden="1" x14ac:dyDescent="0.25">
      <c r="A407" s="17">
        <v>46151</v>
      </c>
      <c r="B407" t="s">
        <v>1017</v>
      </c>
      <c r="C407">
        <v>101</v>
      </c>
      <c r="D407">
        <v>5001</v>
      </c>
      <c r="E407" t="s">
        <v>116</v>
      </c>
      <c r="F407" t="s">
        <v>229</v>
      </c>
      <c r="G407" t="s">
        <v>230</v>
      </c>
      <c r="H407">
        <v>86</v>
      </c>
      <c r="I407">
        <f>SUMIF($D$2:D407, D407, $H$2:H407)</f>
        <v>174</v>
      </c>
      <c r="J407" t="s">
        <v>61</v>
      </c>
      <c r="K407">
        <v>32500</v>
      </c>
      <c r="L407">
        <f>ABS(Tabela4[[#This Row],[Quantidade]]*Tabela4[[#This Row],[Valor Unitario]])</f>
        <v>2795000</v>
      </c>
      <c r="M407" t="s">
        <v>1018</v>
      </c>
    </row>
    <row r="408" spans="1:13" hidden="1" x14ac:dyDescent="0.25">
      <c r="A408" s="17">
        <v>46152</v>
      </c>
      <c r="B408" t="s">
        <v>393</v>
      </c>
      <c r="C408">
        <v>101</v>
      </c>
      <c r="D408">
        <v>2005</v>
      </c>
      <c r="E408" t="s">
        <v>71</v>
      </c>
      <c r="F408" t="s">
        <v>229</v>
      </c>
      <c r="G408" t="s">
        <v>230</v>
      </c>
      <c r="H408">
        <v>14</v>
      </c>
      <c r="I408">
        <f>SUMIF($D$2:D408, D408, $H$2:H408)</f>
        <v>39</v>
      </c>
      <c r="J408" t="s">
        <v>61</v>
      </c>
      <c r="K408">
        <v>3450</v>
      </c>
      <c r="L408">
        <f>ABS(Tabela4[[#This Row],[Quantidade]]*Tabela4[[#This Row],[Valor Unitario]])</f>
        <v>48300</v>
      </c>
      <c r="M408" t="s">
        <v>303</v>
      </c>
    </row>
    <row r="409" spans="1:13" hidden="1" x14ac:dyDescent="0.25">
      <c r="A409" s="17">
        <v>46152</v>
      </c>
      <c r="B409" t="s">
        <v>633</v>
      </c>
      <c r="C409">
        <v>101</v>
      </c>
      <c r="D409">
        <v>2356</v>
      </c>
      <c r="E409" t="s">
        <v>88</v>
      </c>
      <c r="F409" t="s">
        <v>229</v>
      </c>
      <c r="G409" t="s">
        <v>230</v>
      </c>
      <c r="H409">
        <v>2</v>
      </c>
      <c r="I409">
        <f>SUMIF($D$2:D409, D409, $H$2:H409)</f>
        <v>53</v>
      </c>
      <c r="J409" t="s">
        <v>61</v>
      </c>
      <c r="K409">
        <v>145</v>
      </c>
      <c r="L409">
        <f>ABS(Tabela4[[#This Row],[Quantidade]]*Tabela4[[#This Row],[Valor Unitario]])</f>
        <v>290</v>
      </c>
      <c r="M409" t="s">
        <v>634</v>
      </c>
    </row>
    <row r="410" spans="1:13" hidden="1" x14ac:dyDescent="0.25">
      <c r="A410" s="17">
        <v>46152</v>
      </c>
      <c r="B410" t="s">
        <v>697</v>
      </c>
      <c r="C410">
        <v>101</v>
      </c>
      <c r="D410">
        <v>2358</v>
      </c>
      <c r="E410" t="s">
        <v>93</v>
      </c>
      <c r="F410" t="s">
        <v>229</v>
      </c>
      <c r="G410" t="s">
        <v>230</v>
      </c>
      <c r="H410">
        <v>90</v>
      </c>
      <c r="I410">
        <f>SUMIF($D$2:D410, D410, $H$2:H410)</f>
        <v>115</v>
      </c>
      <c r="J410" t="s">
        <v>61</v>
      </c>
      <c r="K410">
        <v>890</v>
      </c>
      <c r="L410">
        <f>ABS(Tabela4[[#This Row],[Quantidade]]*Tabela4[[#This Row],[Valor Unitario]])</f>
        <v>80100</v>
      </c>
      <c r="M410" t="s">
        <v>698</v>
      </c>
    </row>
    <row r="411" spans="1:13" hidden="1" x14ac:dyDescent="0.25">
      <c r="A411" s="17">
        <v>46152</v>
      </c>
      <c r="B411" t="s">
        <v>793</v>
      </c>
      <c r="C411">
        <v>101</v>
      </c>
      <c r="D411">
        <v>2361</v>
      </c>
      <c r="E411" t="s">
        <v>99</v>
      </c>
      <c r="F411" t="s">
        <v>229</v>
      </c>
      <c r="G411" t="s">
        <v>230</v>
      </c>
      <c r="H411">
        <v>34</v>
      </c>
      <c r="I411">
        <f>SUMIF($D$2:D411, D411, $H$2:H411)</f>
        <v>22</v>
      </c>
      <c r="J411" t="s">
        <v>61</v>
      </c>
      <c r="K411">
        <v>68</v>
      </c>
      <c r="L411">
        <f>ABS(Tabela4[[#This Row],[Quantidade]]*Tabela4[[#This Row],[Valor Unitario]])</f>
        <v>2312</v>
      </c>
      <c r="M411" t="s">
        <v>794</v>
      </c>
    </row>
    <row r="412" spans="1:13" hidden="1" x14ac:dyDescent="0.25">
      <c r="A412" s="17">
        <v>46152</v>
      </c>
      <c r="B412" t="s">
        <v>1433</v>
      </c>
      <c r="C412">
        <v>101</v>
      </c>
      <c r="D412">
        <v>7003</v>
      </c>
      <c r="E412" t="s">
        <v>145</v>
      </c>
      <c r="F412" t="s">
        <v>229</v>
      </c>
      <c r="G412" t="s">
        <v>230</v>
      </c>
      <c r="H412">
        <v>46</v>
      </c>
      <c r="I412">
        <f>SUMIF($D$2:D412, D412, $H$2:H412)</f>
        <v>124</v>
      </c>
      <c r="J412" t="s">
        <v>61</v>
      </c>
      <c r="K412">
        <v>130</v>
      </c>
      <c r="L412">
        <f>ABS(Tabela4[[#This Row],[Quantidade]]*Tabela4[[#This Row],[Valor Unitario]])</f>
        <v>5980</v>
      </c>
      <c r="M412" t="s">
        <v>1434</v>
      </c>
    </row>
    <row r="413" spans="1:13" hidden="1" x14ac:dyDescent="0.25">
      <c r="A413" s="17">
        <v>46153</v>
      </c>
      <c r="B413" t="s">
        <v>377</v>
      </c>
      <c r="C413">
        <v>101</v>
      </c>
      <c r="D413">
        <v>2004</v>
      </c>
      <c r="E413" t="s">
        <v>69</v>
      </c>
      <c r="F413" t="s">
        <v>229</v>
      </c>
      <c r="G413" t="s">
        <v>230</v>
      </c>
      <c r="H413">
        <v>81</v>
      </c>
      <c r="I413">
        <f>SUMIF($D$2:D413, D413, $H$2:H413)</f>
        <v>93</v>
      </c>
      <c r="J413" t="s">
        <v>61</v>
      </c>
      <c r="K413">
        <v>11800</v>
      </c>
      <c r="L413">
        <f>ABS(Tabela4[[#This Row],[Quantidade]]*Tabela4[[#This Row],[Valor Unitario]])</f>
        <v>955800</v>
      </c>
      <c r="M413" t="s">
        <v>287</v>
      </c>
    </row>
    <row r="414" spans="1:13" hidden="1" x14ac:dyDescent="0.25">
      <c r="A414" s="17">
        <v>46153</v>
      </c>
      <c r="B414" t="s">
        <v>441</v>
      </c>
      <c r="C414">
        <v>101</v>
      </c>
      <c r="D414">
        <v>2007</v>
      </c>
      <c r="E414" t="s">
        <v>76</v>
      </c>
      <c r="F414" t="s">
        <v>229</v>
      </c>
      <c r="G414" t="s">
        <v>230</v>
      </c>
      <c r="H414">
        <v>32</v>
      </c>
      <c r="I414">
        <f>SUMIF($D$2:D414, D414, $H$2:H414)</f>
        <v>79</v>
      </c>
      <c r="J414" t="s">
        <v>61</v>
      </c>
      <c r="K414">
        <v>1980</v>
      </c>
      <c r="L414">
        <f>ABS(Tabela4[[#This Row],[Quantidade]]*Tabela4[[#This Row],[Valor Unitario]])</f>
        <v>63360</v>
      </c>
      <c r="M414" t="s">
        <v>442</v>
      </c>
    </row>
    <row r="415" spans="1:13" hidden="1" x14ac:dyDescent="0.25">
      <c r="A415" s="17">
        <v>46153</v>
      </c>
      <c r="B415" t="s">
        <v>761</v>
      </c>
      <c r="C415">
        <v>101</v>
      </c>
      <c r="D415">
        <v>2360</v>
      </c>
      <c r="E415" t="s">
        <v>97</v>
      </c>
      <c r="F415" t="s">
        <v>229</v>
      </c>
      <c r="G415" t="s">
        <v>230</v>
      </c>
      <c r="H415">
        <v>84</v>
      </c>
      <c r="I415">
        <f>SUMIF($D$2:D415, D415, $H$2:H415)</f>
        <v>16</v>
      </c>
      <c r="J415" t="s">
        <v>61</v>
      </c>
      <c r="K415">
        <v>2380</v>
      </c>
      <c r="L415">
        <f>ABS(Tabela4[[#This Row],[Quantidade]]*Tabela4[[#This Row],[Valor Unitario]])</f>
        <v>199920</v>
      </c>
      <c r="M415" t="s">
        <v>762</v>
      </c>
    </row>
    <row r="416" spans="1:13" hidden="1" x14ac:dyDescent="0.25">
      <c r="A416" s="17">
        <v>46153</v>
      </c>
      <c r="B416" t="s">
        <v>1497</v>
      </c>
      <c r="C416">
        <v>101</v>
      </c>
      <c r="D416">
        <v>8002</v>
      </c>
      <c r="E416" t="s">
        <v>151</v>
      </c>
      <c r="F416" t="s">
        <v>229</v>
      </c>
      <c r="G416" t="s">
        <v>230</v>
      </c>
      <c r="H416">
        <v>59</v>
      </c>
      <c r="I416">
        <f>SUMIF($D$2:D416, D416, $H$2:H416)</f>
        <v>37</v>
      </c>
      <c r="J416" t="s">
        <v>152</v>
      </c>
      <c r="K416">
        <v>32</v>
      </c>
      <c r="L416">
        <f>ABS(Tabela4[[#This Row],[Quantidade]]*Tabela4[[#This Row],[Valor Unitario]])</f>
        <v>1888</v>
      </c>
      <c r="M416" t="s">
        <v>1498</v>
      </c>
    </row>
    <row r="417" spans="1:13" hidden="1" x14ac:dyDescent="0.25">
      <c r="A417" s="17">
        <v>46154</v>
      </c>
      <c r="B417" t="s">
        <v>409</v>
      </c>
      <c r="C417">
        <v>101</v>
      </c>
      <c r="D417">
        <v>2006</v>
      </c>
      <c r="E417" t="s">
        <v>74</v>
      </c>
      <c r="F417" t="s">
        <v>229</v>
      </c>
      <c r="G417" t="s">
        <v>230</v>
      </c>
      <c r="H417">
        <v>28</v>
      </c>
      <c r="I417">
        <f>SUMIF($D$2:D417, D417, $H$2:H417)</f>
        <v>125</v>
      </c>
      <c r="J417" t="s">
        <v>61</v>
      </c>
      <c r="K417">
        <v>2870</v>
      </c>
      <c r="L417">
        <f>ABS(Tabela4[[#This Row],[Quantidade]]*Tabela4[[#This Row],[Valor Unitario]])</f>
        <v>80360</v>
      </c>
      <c r="M417" t="s">
        <v>410</v>
      </c>
    </row>
    <row r="418" spans="1:13" hidden="1" x14ac:dyDescent="0.25">
      <c r="A418" s="17">
        <v>46154</v>
      </c>
      <c r="B418" t="s">
        <v>1561</v>
      </c>
      <c r="C418">
        <v>101</v>
      </c>
      <c r="D418">
        <v>9002</v>
      </c>
      <c r="E418" t="s">
        <v>157</v>
      </c>
      <c r="F418" t="s">
        <v>229</v>
      </c>
      <c r="G418" t="s">
        <v>230</v>
      </c>
      <c r="H418">
        <v>97</v>
      </c>
      <c r="I418">
        <f>SUMIF($D$2:D418, D418, $H$2:H418)</f>
        <v>211</v>
      </c>
      <c r="J418" t="s">
        <v>61</v>
      </c>
      <c r="K418">
        <v>6.5</v>
      </c>
      <c r="L418">
        <f>ABS(Tabela4[[#This Row],[Quantidade]]*Tabela4[[#This Row],[Valor Unitario]])</f>
        <v>630.5</v>
      </c>
      <c r="M418" t="s">
        <v>1562</v>
      </c>
    </row>
    <row r="419" spans="1:13" hidden="1" x14ac:dyDescent="0.25">
      <c r="A419" s="17">
        <v>46154</v>
      </c>
      <c r="B419" t="s">
        <v>1625</v>
      </c>
      <c r="C419">
        <v>101</v>
      </c>
      <c r="D419">
        <v>9004</v>
      </c>
      <c r="E419" t="s">
        <v>161</v>
      </c>
      <c r="F419" t="s">
        <v>229</v>
      </c>
      <c r="G419" t="s">
        <v>230</v>
      </c>
      <c r="H419">
        <v>99</v>
      </c>
      <c r="I419">
        <f>SUMIF($D$2:D419, D419, $H$2:H419)</f>
        <v>115</v>
      </c>
      <c r="J419" t="s">
        <v>61</v>
      </c>
      <c r="K419">
        <v>45</v>
      </c>
      <c r="L419">
        <f>ABS(Tabela4[[#This Row],[Quantidade]]*Tabela4[[#This Row],[Valor Unitario]])</f>
        <v>4455</v>
      </c>
      <c r="M419" t="s">
        <v>1626</v>
      </c>
    </row>
    <row r="420" spans="1:13" hidden="1" x14ac:dyDescent="0.25">
      <c r="A420" s="17">
        <v>46155</v>
      </c>
      <c r="B420" t="s">
        <v>1049</v>
      </c>
      <c r="C420">
        <v>101</v>
      </c>
      <c r="D420">
        <v>5002</v>
      </c>
      <c r="E420" t="s">
        <v>119</v>
      </c>
      <c r="F420" t="s">
        <v>229</v>
      </c>
      <c r="G420" t="s">
        <v>230</v>
      </c>
      <c r="H420">
        <v>4</v>
      </c>
      <c r="I420">
        <f>SUMIF($D$2:D420, D420, $H$2:H420)</f>
        <v>18</v>
      </c>
      <c r="J420" t="s">
        <v>61</v>
      </c>
      <c r="K420">
        <v>17800</v>
      </c>
      <c r="L420">
        <f>ABS(Tabela4[[#This Row],[Quantidade]]*Tabela4[[#This Row],[Valor Unitario]])</f>
        <v>71200</v>
      </c>
      <c r="M420" t="s">
        <v>1050</v>
      </c>
    </row>
    <row r="421" spans="1:13" hidden="1" x14ac:dyDescent="0.25">
      <c r="A421" s="17">
        <v>46155</v>
      </c>
      <c r="B421" t="s">
        <v>1209</v>
      </c>
      <c r="C421">
        <v>101</v>
      </c>
      <c r="D421">
        <v>5007</v>
      </c>
      <c r="E421" t="s">
        <v>129</v>
      </c>
      <c r="F421" t="s">
        <v>229</v>
      </c>
      <c r="G421" t="s">
        <v>230</v>
      </c>
      <c r="H421">
        <v>84</v>
      </c>
      <c r="I421">
        <f>SUMIF($D$2:D421, D421, $H$2:H421)</f>
        <v>-30</v>
      </c>
      <c r="J421" t="s">
        <v>61</v>
      </c>
      <c r="K421">
        <v>340</v>
      </c>
      <c r="L421">
        <f>ABS(Tabela4[[#This Row],[Quantidade]]*Tabela4[[#This Row],[Valor Unitario]])</f>
        <v>28560</v>
      </c>
      <c r="M421" t="s">
        <v>1210</v>
      </c>
    </row>
    <row r="422" spans="1:13" hidden="1" x14ac:dyDescent="0.25">
      <c r="A422" s="17">
        <v>46155</v>
      </c>
      <c r="B422" t="s">
        <v>1401</v>
      </c>
      <c r="C422">
        <v>101</v>
      </c>
      <c r="D422">
        <v>7002</v>
      </c>
      <c r="E422" t="s">
        <v>143</v>
      </c>
      <c r="F422" t="s">
        <v>229</v>
      </c>
      <c r="G422" t="s">
        <v>230</v>
      </c>
      <c r="H422">
        <v>31</v>
      </c>
      <c r="I422">
        <f>SUMIF($D$2:D422, D422, $H$2:H422)</f>
        <v>91</v>
      </c>
      <c r="J422" t="s">
        <v>61</v>
      </c>
      <c r="K422">
        <v>95</v>
      </c>
      <c r="L422">
        <f>ABS(Tabela4[[#This Row],[Quantidade]]*Tabela4[[#This Row],[Valor Unitario]])</f>
        <v>2945</v>
      </c>
      <c r="M422" t="s">
        <v>1402</v>
      </c>
    </row>
    <row r="423" spans="1:13" x14ac:dyDescent="0.25">
      <c r="A423" s="17">
        <v>46156</v>
      </c>
      <c r="B423" t="s">
        <v>729</v>
      </c>
      <c r="C423">
        <v>101</v>
      </c>
      <c r="D423">
        <v>2359</v>
      </c>
      <c r="E423" t="s">
        <v>95</v>
      </c>
      <c r="F423" t="s">
        <v>229</v>
      </c>
      <c r="G423" t="s">
        <v>230</v>
      </c>
      <c r="H423">
        <v>62</v>
      </c>
      <c r="I423">
        <f>SUMIF($D$2:D423, D423, $H$2:H423)</f>
        <v>89</v>
      </c>
      <c r="J423" t="s">
        <v>61</v>
      </c>
      <c r="K423">
        <v>1240</v>
      </c>
      <c r="L423">
        <f>ABS(Tabela4[[#This Row],[Quantidade]]*Tabela4[[#This Row],[Valor Unitario]])</f>
        <v>76880</v>
      </c>
      <c r="M423" t="s">
        <v>730</v>
      </c>
    </row>
    <row r="424" spans="1:13" hidden="1" x14ac:dyDescent="0.25">
      <c r="A424" s="17">
        <v>46156</v>
      </c>
      <c r="B424" t="s">
        <v>1241</v>
      </c>
      <c r="C424">
        <v>101</v>
      </c>
      <c r="D424">
        <v>6001</v>
      </c>
      <c r="E424" t="s">
        <v>131</v>
      </c>
      <c r="F424" t="s">
        <v>229</v>
      </c>
      <c r="G424" t="s">
        <v>230</v>
      </c>
      <c r="H424">
        <v>62</v>
      </c>
      <c r="I424">
        <f>SUMIF($D$2:D424, D424, $H$2:H424)</f>
        <v>5</v>
      </c>
      <c r="J424" t="s">
        <v>61</v>
      </c>
      <c r="K424">
        <v>15800</v>
      </c>
      <c r="L424">
        <f>ABS(Tabela4[[#This Row],[Quantidade]]*Tabela4[[#This Row],[Valor Unitario]])</f>
        <v>979600</v>
      </c>
      <c r="M424" t="s">
        <v>1242</v>
      </c>
    </row>
    <row r="425" spans="1:13" hidden="1" x14ac:dyDescent="0.25">
      <c r="A425" s="17">
        <v>46156</v>
      </c>
      <c r="B425" t="s">
        <v>1465</v>
      </c>
      <c r="C425">
        <v>101</v>
      </c>
      <c r="D425">
        <v>8001</v>
      </c>
      <c r="E425" t="s">
        <v>147</v>
      </c>
      <c r="F425" t="s">
        <v>229</v>
      </c>
      <c r="G425" t="s">
        <v>230</v>
      </c>
      <c r="H425">
        <v>21</v>
      </c>
      <c r="I425">
        <f>SUMIF($D$2:D425, D425, $H$2:H425)</f>
        <v>-29</v>
      </c>
      <c r="J425" t="s">
        <v>149</v>
      </c>
      <c r="K425">
        <v>28</v>
      </c>
      <c r="L425">
        <f>ABS(Tabela4[[#This Row],[Quantidade]]*Tabela4[[#This Row],[Valor Unitario]])</f>
        <v>588</v>
      </c>
      <c r="M425" t="s">
        <v>1466</v>
      </c>
    </row>
    <row r="426" spans="1:13" hidden="1" x14ac:dyDescent="0.25">
      <c r="A426" s="17">
        <v>46156</v>
      </c>
      <c r="B426" t="s">
        <v>1529</v>
      </c>
      <c r="C426">
        <v>101</v>
      </c>
      <c r="D426">
        <v>9001</v>
      </c>
      <c r="E426" t="s">
        <v>154</v>
      </c>
      <c r="F426" t="s">
        <v>229</v>
      </c>
      <c r="G426" t="s">
        <v>230</v>
      </c>
      <c r="H426">
        <v>87</v>
      </c>
      <c r="I426">
        <f>SUMIF($D$2:D426, D426, $H$2:H426)</f>
        <v>161</v>
      </c>
      <c r="J426" t="s">
        <v>61</v>
      </c>
      <c r="K426">
        <v>18</v>
      </c>
      <c r="L426">
        <f>ABS(Tabela4[[#This Row],[Quantidade]]*Tabela4[[#This Row],[Valor Unitario]])</f>
        <v>1566</v>
      </c>
      <c r="M426" t="s">
        <v>1530</v>
      </c>
    </row>
    <row r="427" spans="1:13" hidden="1" x14ac:dyDescent="0.25">
      <c r="A427" s="17">
        <v>46157</v>
      </c>
      <c r="B427" t="s">
        <v>539</v>
      </c>
      <c r="C427">
        <v>261</v>
      </c>
      <c r="D427">
        <v>2010</v>
      </c>
      <c r="E427" t="s">
        <v>82</v>
      </c>
      <c r="F427" t="s">
        <v>229</v>
      </c>
      <c r="G427" t="s">
        <v>230</v>
      </c>
      <c r="H427">
        <v>-24</v>
      </c>
      <c r="I427">
        <f>SUMIF($D$2:D427, D427, $H$2:H427)</f>
        <v>3</v>
      </c>
      <c r="J427" t="s">
        <v>61</v>
      </c>
      <c r="K427">
        <v>2150</v>
      </c>
      <c r="L427">
        <f>ABS(Tabela4[[#This Row],[Quantidade]]*Tabela4[[#This Row],[Valor Unitario]])</f>
        <v>51600</v>
      </c>
      <c r="M427" t="s">
        <v>540</v>
      </c>
    </row>
    <row r="428" spans="1:13" hidden="1" x14ac:dyDescent="0.25">
      <c r="A428" s="17">
        <v>46157</v>
      </c>
      <c r="B428" t="s">
        <v>987</v>
      </c>
      <c r="C428">
        <v>261</v>
      </c>
      <c r="D428">
        <v>4002</v>
      </c>
      <c r="E428" t="s">
        <v>114</v>
      </c>
      <c r="F428" t="s">
        <v>229</v>
      </c>
      <c r="G428" t="s">
        <v>230</v>
      </c>
      <c r="H428">
        <v>-84</v>
      </c>
      <c r="I428">
        <f>SUMIF($D$2:D428, D428, $H$2:H428)</f>
        <v>-33</v>
      </c>
      <c r="J428" t="s">
        <v>61</v>
      </c>
      <c r="K428">
        <v>4100</v>
      </c>
      <c r="L428">
        <f>ABS(Tabela4[[#This Row],[Quantidade]]*Tabela4[[#This Row],[Valor Unitario]])</f>
        <v>344400</v>
      </c>
      <c r="M428" t="s">
        <v>988</v>
      </c>
    </row>
    <row r="429" spans="1:13" hidden="1" x14ac:dyDescent="0.25">
      <c r="A429" s="17">
        <v>46157</v>
      </c>
      <c r="B429" t="s">
        <v>1051</v>
      </c>
      <c r="C429">
        <v>261</v>
      </c>
      <c r="D429">
        <v>5002</v>
      </c>
      <c r="E429" t="s">
        <v>119</v>
      </c>
      <c r="F429" t="s">
        <v>229</v>
      </c>
      <c r="G429" t="s">
        <v>230</v>
      </c>
      <c r="H429">
        <v>-32</v>
      </c>
      <c r="I429">
        <f>SUMIF($D$2:D429, D429, $H$2:H429)</f>
        <v>-14</v>
      </c>
      <c r="J429" t="s">
        <v>61</v>
      </c>
      <c r="K429">
        <v>17800</v>
      </c>
      <c r="L429">
        <f>ABS(Tabela4[[#This Row],[Quantidade]]*Tabela4[[#This Row],[Valor Unitario]])</f>
        <v>569600</v>
      </c>
      <c r="M429" t="s">
        <v>1052</v>
      </c>
    </row>
    <row r="430" spans="1:13" hidden="1" x14ac:dyDescent="0.25">
      <c r="A430" s="17">
        <v>46157</v>
      </c>
      <c r="B430" t="s">
        <v>1147</v>
      </c>
      <c r="C430">
        <v>261</v>
      </c>
      <c r="D430">
        <v>5005</v>
      </c>
      <c r="E430" t="s">
        <v>125</v>
      </c>
      <c r="F430" t="s">
        <v>229</v>
      </c>
      <c r="G430" t="s">
        <v>230</v>
      </c>
      <c r="H430">
        <v>-5</v>
      </c>
      <c r="I430">
        <f>SUMIF($D$2:D430, D430, $H$2:H430)</f>
        <v>134</v>
      </c>
      <c r="J430" t="s">
        <v>61</v>
      </c>
      <c r="K430">
        <v>780</v>
      </c>
      <c r="L430">
        <f>ABS(Tabela4[[#This Row],[Quantidade]]*Tabela4[[#This Row],[Valor Unitario]])</f>
        <v>3900</v>
      </c>
      <c r="M430" t="s">
        <v>1148</v>
      </c>
    </row>
    <row r="431" spans="1:13" hidden="1" x14ac:dyDescent="0.25">
      <c r="A431" s="17">
        <v>46157</v>
      </c>
      <c r="B431" t="s">
        <v>1275</v>
      </c>
      <c r="C431">
        <v>261</v>
      </c>
      <c r="D431">
        <v>6002</v>
      </c>
      <c r="E431" t="s">
        <v>134</v>
      </c>
      <c r="F431" t="s">
        <v>229</v>
      </c>
      <c r="G431" t="s">
        <v>230</v>
      </c>
      <c r="H431">
        <v>-20</v>
      </c>
      <c r="I431">
        <f>SUMIF($D$2:D431, D431, $H$2:H431)</f>
        <v>85</v>
      </c>
      <c r="J431" t="s">
        <v>61</v>
      </c>
      <c r="K431">
        <v>6900</v>
      </c>
      <c r="L431">
        <f>ABS(Tabela4[[#This Row],[Quantidade]]*Tabela4[[#This Row],[Valor Unitario]])</f>
        <v>138000</v>
      </c>
      <c r="M431" t="s">
        <v>1276</v>
      </c>
    </row>
    <row r="432" spans="1:13" hidden="1" x14ac:dyDescent="0.25">
      <c r="A432" s="17">
        <v>46158</v>
      </c>
      <c r="B432" t="s">
        <v>1083</v>
      </c>
      <c r="C432">
        <v>261</v>
      </c>
      <c r="D432">
        <v>5003</v>
      </c>
      <c r="E432" t="s">
        <v>121</v>
      </c>
      <c r="F432" t="s">
        <v>229</v>
      </c>
      <c r="G432" t="s">
        <v>230</v>
      </c>
      <c r="H432">
        <v>-38</v>
      </c>
      <c r="I432">
        <f>SUMIF($D$2:D432, D432, $H$2:H432)</f>
        <v>63</v>
      </c>
      <c r="J432" t="s">
        <v>61</v>
      </c>
      <c r="K432">
        <v>8900</v>
      </c>
      <c r="L432">
        <f>ABS(Tabela4[[#This Row],[Quantidade]]*Tabela4[[#This Row],[Valor Unitario]])</f>
        <v>338200</v>
      </c>
      <c r="M432" t="s">
        <v>1084</v>
      </c>
    </row>
    <row r="433" spans="1:13" hidden="1" x14ac:dyDescent="0.25">
      <c r="A433" s="17">
        <v>46158</v>
      </c>
      <c r="B433" t="s">
        <v>1115</v>
      </c>
      <c r="C433">
        <v>261</v>
      </c>
      <c r="D433">
        <v>5004</v>
      </c>
      <c r="E433" t="s">
        <v>123</v>
      </c>
      <c r="F433" t="s">
        <v>229</v>
      </c>
      <c r="G433" t="s">
        <v>230</v>
      </c>
      <c r="H433">
        <v>-77</v>
      </c>
      <c r="I433">
        <f>SUMIF($D$2:D433, D433, $H$2:H433)</f>
        <v>24</v>
      </c>
      <c r="J433" t="s">
        <v>61</v>
      </c>
      <c r="K433">
        <v>1350</v>
      </c>
      <c r="L433">
        <f>ABS(Tabela4[[#This Row],[Quantidade]]*Tabela4[[#This Row],[Valor Unitario]])</f>
        <v>103950</v>
      </c>
      <c r="M433" t="s">
        <v>1116</v>
      </c>
    </row>
    <row r="434" spans="1:13" hidden="1" x14ac:dyDescent="0.25">
      <c r="A434" s="17">
        <v>46160</v>
      </c>
      <c r="B434" t="s">
        <v>1211</v>
      </c>
      <c r="C434">
        <v>261</v>
      </c>
      <c r="D434">
        <v>5007</v>
      </c>
      <c r="E434" t="s">
        <v>129</v>
      </c>
      <c r="F434" t="s">
        <v>229</v>
      </c>
      <c r="G434" t="s">
        <v>230</v>
      </c>
      <c r="H434">
        <v>-10</v>
      </c>
      <c r="I434">
        <f>SUMIF($D$2:D434, D434, $H$2:H434)</f>
        <v>-40</v>
      </c>
      <c r="J434" t="s">
        <v>61</v>
      </c>
      <c r="K434">
        <v>340</v>
      </c>
      <c r="L434">
        <f>ABS(Tabela4[[#This Row],[Quantidade]]*Tabela4[[#This Row],[Valor Unitario]])</f>
        <v>3400</v>
      </c>
      <c r="M434" t="s">
        <v>1212</v>
      </c>
    </row>
    <row r="435" spans="1:13" hidden="1" x14ac:dyDescent="0.25">
      <c r="A435" s="17">
        <v>46161</v>
      </c>
      <c r="B435" t="s">
        <v>368</v>
      </c>
      <c r="C435">
        <v>261</v>
      </c>
      <c r="D435">
        <v>2003</v>
      </c>
      <c r="E435" t="s">
        <v>66</v>
      </c>
      <c r="F435" t="s">
        <v>229</v>
      </c>
      <c r="G435" t="s">
        <v>230</v>
      </c>
      <c r="H435">
        <v>-24</v>
      </c>
      <c r="I435">
        <f>SUMIF($D$2:D435, D435, $H$2:H435)</f>
        <v>138</v>
      </c>
      <c r="J435" t="s">
        <v>61</v>
      </c>
      <c r="K435">
        <v>12400</v>
      </c>
      <c r="L435">
        <f>ABS(Tabela4[[#This Row],[Quantidade]]*Tabela4[[#This Row],[Valor Unitario]])</f>
        <v>297600</v>
      </c>
      <c r="M435" t="s">
        <v>278</v>
      </c>
    </row>
    <row r="436" spans="1:13" x14ac:dyDescent="0.25">
      <c r="A436" s="17">
        <v>46161</v>
      </c>
      <c r="B436" t="s">
        <v>731</v>
      </c>
      <c r="C436">
        <v>261</v>
      </c>
      <c r="D436">
        <v>2359</v>
      </c>
      <c r="E436" t="s">
        <v>95</v>
      </c>
      <c r="F436" t="s">
        <v>229</v>
      </c>
      <c r="G436" t="s">
        <v>230</v>
      </c>
      <c r="H436">
        <v>-50</v>
      </c>
      <c r="I436">
        <f>SUMIF($D$2:D436, D436, $H$2:H436)</f>
        <v>39</v>
      </c>
      <c r="J436" t="s">
        <v>61</v>
      </c>
      <c r="K436">
        <v>1240</v>
      </c>
      <c r="L436">
        <f>ABS(Tabela4[[#This Row],[Quantidade]]*Tabela4[[#This Row],[Valor Unitario]])</f>
        <v>62000</v>
      </c>
      <c r="M436" t="s">
        <v>732</v>
      </c>
    </row>
    <row r="437" spans="1:13" hidden="1" x14ac:dyDescent="0.25">
      <c r="A437" s="17">
        <v>46161</v>
      </c>
      <c r="B437" t="s">
        <v>1339</v>
      </c>
      <c r="C437">
        <v>261</v>
      </c>
      <c r="D437">
        <v>6004</v>
      </c>
      <c r="E437" t="s">
        <v>138</v>
      </c>
      <c r="F437" t="s">
        <v>229</v>
      </c>
      <c r="G437" t="s">
        <v>230</v>
      </c>
      <c r="H437">
        <v>-5</v>
      </c>
      <c r="I437">
        <f>SUMIF($D$2:D437, D437, $H$2:H437)</f>
        <v>256</v>
      </c>
      <c r="J437" t="s">
        <v>61</v>
      </c>
      <c r="K437">
        <v>2650</v>
      </c>
      <c r="L437">
        <f>ABS(Tabela4[[#This Row],[Quantidade]]*Tabela4[[#This Row],[Valor Unitario]])</f>
        <v>13250</v>
      </c>
      <c r="M437" t="s">
        <v>1340</v>
      </c>
    </row>
    <row r="438" spans="1:13" hidden="1" x14ac:dyDescent="0.25">
      <c r="A438" s="17">
        <v>46162</v>
      </c>
      <c r="B438" t="s">
        <v>1371</v>
      </c>
      <c r="C438">
        <v>261</v>
      </c>
      <c r="D438">
        <v>7001</v>
      </c>
      <c r="E438" t="s">
        <v>140</v>
      </c>
      <c r="F438" t="s">
        <v>229</v>
      </c>
      <c r="G438" t="s">
        <v>230</v>
      </c>
      <c r="H438">
        <v>-6</v>
      </c>
      <c r="I438">
        <f>SUMIF($D$2:D438, D438, $H$2:H438)</f>
        <v>33</v>
      </c>
      <c r="J438" t="s">
        <v>61</v>
      </c>
      <c r="K438">
        <v>210</v>
      </c>
      <c r="L438">
        <f>ABS(Tabela4[[#This Row],[Quantidade]]*Tabela4[[#This Row],[Valor Unitario]])</f>
        <v>1260</v>
      </c>
      <c r="M438" t="s">
        <v>1372</v>
      </c>
    </row>
    <row r="439" spans="1:13" hidden="1" x14ac:dyDescent="0.25">
      <c r="A439" s="17">
        <v>46163</v>
      </c>
      <c r="B439" t="s">
        <v>394</v>
      </c>
      <c r="C439">
        <v>261</v>
      </c>
      <c r="D439">
        <v>2005</v>
      </c>
      <c r="E439" t="s">
        <v>71</v>
      </c>
      <c r="F439" t="s">
        <v>229</v>
      </c>
      <c r="G439" t="s">
        <v>230</v>
      </c>
      <c r="H439">
        <v>-27</v>
      </c>
      <c r="I439">
        <f>SUMIF($D$2:D439, D439, $H$2:H439)</f>
        <v>12</v>
      </c>
      <c r="J439" t="s">
        <v>61</v>
      </c>
      <c r="K439">
        <v>3450</v>
      </c>
      <c r="L439">
        <f>ABS(Tabela4[[#This Row],[Quantidade]]*Tabela4[[#This Row],[Valor Unitario]])</f>
        <v>93150</v>
      </c>
      <c r="M439" t="s">
        <v>304</v>
      </c>
    </row>
    <row r="440" spans="1:13" hidden="1" x14ac:dyDescent="0.25">
      <c r="A440" s="17">
        <v>46163</v>
      </c>
      <c r="B440" t="s">
        <v>571</v>
      </c>
      <c r="C440">
        <v>261</v>
      </c>
      <c r="D440">
        <v>2011</v>
      </c>
      <c r="E440" t="s">
        <v>84</v>
      </c>
      <c r="F440" t="s">
        <v>229</v>
      </c>
      <c r="G440" t="s">
        <v>230</v>
      </c>
      <c r="H440">
        <v>-67</v>
      </c>
      <c r="I440">
        <f>SUMIF($D$2:D440, D440, $H$2:H440)</f>
        <v>-54</v>
      </c>
      <c r="J440" t="s">
        <v>61</v>
      </c>
      <c r="K440">
        <v>9800</v>
      </c>
      <c r="L440">
        <f>ABS(Tabela4[[#This Row],[Quantidade]]*Tabela4[[#This Row],[Valor Unitario]])</f>
        <v>656600</v>
      </c>
      <c r="M440" t="s">
        <v>572</v>
      </c>
    </row>
    <row r="441" spans="1:13" hidden="1" x14ac:dyDescent="0.25">
      <c r="A441" s="17">
        <v>46163</v>
      </c>
      <c r="B441" t="s">
        <v>1563</v>
      </c>
      <c r="C441">
        <v>261</v>
      </c>
      <c r="D441">
        <v>9002</v>
      </c>
      <c r="E441" t="s">
        <v>157</v>
      </c>
      <c r="F441" t="s">
        <v>229</v>
      </c>
      <c r="G441" t="s">
        <v>230</v>
      </c>
      <c r="H441">
        <v>-93</v>
      </c>
      <c r="I441">
        <f>SUMIF($D$2:D441, D441, $H$2:H441)</f>
        <v>118</v>
      </c>
      <c r="J441" t="s">
        <v>61</v>
      </c>
      <c r="K441">
        <v>6.5</v>
      </c>
      <c r="L441">
        <f>ABS(Tabela4[[#This Row],[Quantidade]]*Tabela4[[#This Row],[Valor Unitario]])</f>
        <v>604.5</v>
      </c>
      <c r="M441" t="s">
        <v>1564</v>
      </c>
    </row>
    <row r="442" spans="1:13" hidden="1" x14ac:dyDescent="0.25">
      <c r="A442" s="17">
        <v>46163</v>
      </c>
      <c r="B442" t="s">
        <v>1595</v>
      </c>
      <c r="C442">
        <v>261</v>
      </c>
      <c r="D442">
        <v>9003</v>
      </c>
      <c r="E442" t="s">
        <v>159</v>
      </c>
      <c r="F442" t="s">
        <v>229</v>
      </c>
      <c r="G442" t="s">
        <v>230</v>
      </c>
      <c r="H442">
        <v>-74</v>
      </c>
      <c r="I442">
        <f>SUMIF($D$2:D442, D442, $H$2:H442)</f>
        <v>10</v>
      </c>
      <c r="J442" t="s">
        <v>61</v>
      </c>
      <c r="K442">
        <v>2.2000000000000002</v>
      </c>
      <c r="L442">
        <f>ABS(Tabela4[[#This Row],[Quantidade]]*Tabela4[[#This Row],[Valor Unitario]])</f>
        <v>162.80000000000001</v>
      </c>
      <c r="M442" t="s">
        <v>1596</v>
      </c>
    </row>
    <row r="443" spans="1:13" hidden="1" x14ac:dyDescent="0.25">
      <c r="A443" s="17">
        <v>46164</v>
      </c>
      <c r="B443" t="s">
        <v>378</v>
      </c>
      <c r="C443">
        <v>261</v>
      </c>
      <c r="D443">
        <v>2004</v>
      </c>
      <c r="E443" t="s">
        <v>69</v>
      </c>
      <c r="F443" t="s">
        <v>229</v>
      </c>
      <c r="G443" t="s">
        <v>230</v>
      </c>
      <c r="H443">
        <v>-35</v>
      </c>
      <c r="I443">
        <f>SUMIF($D$2:D443, D443, $H$2:H443)</f>
        <v>58</v>
      </c>
      <c r="J443" t="s">
        <v>61</v>
      </c>
      <c r="K443">
        <v>11800</v>
      </c>
      <c r="L443">
        <f>ABS(Tabela4[[#This Row],[Quantidade]]*Tabela4[[#This Row],[Valor Unitario]])</f>
        <v>413000</v>
      </c>
      <c r="M443" t="s">
        <v>288</v>
      </c>
    </row>
    <row r="444" spans="1:13" hidden="1" x14ac:dyDescent="0.25">
      <c r="A444" s="17">
        <v>46164</v>
      </c>
      <c r="B444" t="s">
        <v>507</v>
      </c>
      <c r="C444">
        <v>261</v>
      </c>
      <c r="D444">
        <v>2009</v>
      </c>
      <c r="E444" t="s">
        <v>80</v>
      </c>
      <c r="F444" t="s">
        <v>229</v>
      </c>
      <c r="G444" t="s">
        <v>230</v>
      </c>
      <c r="H444">
        <v>-39</v>
      </c>
      <c r="I444">
        <f>SUMIF($D$2:D444, D444, $H$2:H444)</f>
        <v>66</v>
      </c>
      <c r="J444" t="s">
        <v>61</v>
      </c>
      <c r="K444">
        <v>1650</v>
      </c>
      <c r="L444">
        <f>ABS(Tabela4[[#This Row],[Quantidade]]*Tabela4[[#This Row],[Valor Unitario]])</f>
        <v>64350</v>
      </c>
      <c r="M444" t="s">
        <v>508</v>
      </c>
    </row>
    <row r="445" spans="1:13" hidden="1" x14ac:dyDescent="0.25">
      <c r="A445" s="17">
        <v>46164</v>
      </c>
      <c r="B445" t="s">
        <v>891</v>
      </c>
      <c r="C445">
        <v>261</v>
      </c>
      <c r="D445">
        <v>3003</v>
      </c>
      <c r="E445" t="s">
        <v>107</v>
      </c>
      <c r="F445" t="s">
        <v>229</v>
      </c>
      <c r="G445" t="s">
        <v>230</v>
      </c>
      <c r="H445">
        <v>-42</v>
      </c>
      <c r="I445">
        <f>SUMIF($D$2:D445, D445, $H$2:H445)</f>
        <v>76</v>
      </c>
      <c r="J445" t="s">
        <v>61</v>
      </c>
      <c r="K445">
        <v>2450</v>
      </c>
      <c r="L445">
        <f>ABS(Tabela4[[#This Row],[Quantidade]]*Tabela4[[#This Row],[Valor Unitario]])</f>
        <v>102900</v>
      </c>
      <c r="M445" t="s">
        <v>892</v>
      </c>
    </row>
    <row r="446" spans="1:13" hidden="1" x14ac:dyDescent="0.25">
      <c r="A446" s="17">
        <v>46164</v>
      </c>
      <c r="B446" t="s">
        <v>923</v>
      </c>
      <c r="C446">
        <v>261</v>
      </c>
      <c r="D446">
        <v>3004</v>
      </c>
      <c r="E446" t="s">
        <v>109</v>
      </c>
      <c r="F446" t="s">
        <v>229</v>
      </c>
      <c r="G446" t="s">
        <v>230</v>
      </c>
      <c r="H446">
        <v>-61</v>
      </c>
      <c r="I446">
        <f>SUMIF($D$2:D446, D446, $H$2:H446)</f>
        <v>133</v>
      </c>
      <c r="J446" t="s">
        <v>61</v>
      </c>
      <c r="K446">
        <v>2180</v>
      </c>
      <c r="L446">
        <f>ABS(Tabela4[[#This Row],[Quantidade]]*Tabela4[[#This Row],[Valor Unitario]])</f>
        <v>132980</v>
      </c>
      <c r="M446" t="s">
        <v>924</v>
      </c>
    </row>
    <row r="447" spans="1:13" hidden="1" x14ac:dyDescent="0.25">
      <c r="A447" s="17">
        <v>46165</v>
      </c>
      <c r="B447" t="s">
        <v>443</v>
      </c>
      <c r="C447">
        <v>261</v>
      </c>
      <c r="D447">
        <v>2007</v>
      </c>
      <c r="E447" t="s">
        <v>76</v>
      </c>
      <c r="F447" t="s">
        <v>229</v>
      </c>
      <c r="G447" t="s">
        <v>230</v>
      </c>
      <c r="H447">
        <v>-52</v>
      </c>
      <c r="I447">
        <f>SUMIF($D$2:D447, D447, $H$2:H447)</f>
        <v>27</v>
      </c>
      <c r="J447" t="s">
        <v>61</v>
      </c>
      <c r="K447">
        <v>1980</v>
      </c>
      <c r="L447">
        <f>ABS(Tabela4[[#This Row],[Quantidade]]*Tabela4[[#This Row],[Valor Unitario]])</f>
        <v>102960</v>
      </c>
      <c r="M447" t="s">
        <v>444</v>
      </c>
    </row>
    <row r="448" spans="1:13" hidden="1" x14ac:dyDescent="0.25">
      <c r="A448" s="17">
        <v>46165</v>
      </c>
      <c r="B448" t="s">
        <v>699</v>
      </c>
      <c r="C448">
        <v>261</v>
      </c>
      <c r="D448">
        <v>2358</v>
      </c>
      <c r="E448" t="s">
        <v>93</v>
      </c>
      <c r="F448" t="s">
        <v>229</v>
      </c>
      <c r="G448" t="s">
        <v>230</v>
      </c>
      <c r="H448">
        <v>-12</v>
      </c>
      <c r="I448">
        <f>SUMIF($D$2:D448, D448, $H$2:H448)</f>
        <v>103</v>
      </c>
      <c r="J448" t="s">
        <v>61</v>
      </c>
      <c r="K448">
        <v>890</v>
      </c>
      <c r="L448">
        <f>ABS(Tabela4[[#This Row],[Quantidade]]*Tabela4[[#This Row],[Valor Unitario]])</f>
        <v>10680</v>
      </c>
      <c r="M448" t="s">
        <v>700</v>
      </c>
    </row>
    <row r="449" spans="1:13" hidden="1" x14ac:dyDescent="0.25">
      <c r="A449" s="17">
        <v>46165</v>
      </c>
      <c r="B449" t="s">
        <v>795</v>
      </c>
      <c r="C449">
        <v>261</v>
      </c>
      <c r="D449">
        <v>2361</v>
      </c>
      <c r="E449" t="s">
        <v>99</v>
      </c>
      <c r="F449" t="s">
        <v>229</v>
      </c>
      <c r="G449" t="s">
        <v>230</v>
      </c>
      <c r="H449">
        <v>-7</v>
      </c>
      <c r="I449">
        <f>SUMIF($D$2:D449, D449, $H$2:H449)</f>
        <v>15</v>
      </c>
      <c r="J449" t="s">
        <v>61</v>
      </c>
      <c r="K449">
        <v>68</v>
      </c>
      <c r="L449">
        <f>ABS(Tabela4[[#This Row],[Quantidade]]*Tabela4[[#This Row],[Valor Unitario]])</f>
        <v>476</v>
      </c>
      <c r="M449" t="s">
        <v>796</v>
      </c>
    </row>
    <row r="450" spans="1:13" hidden="1" x14ac:dyDescent="0.25">
      <c r="A450" s="17">
        <v>46165</v>
      </c>
      <c r="B450" t="s">
        <v>827</v>
      </c>
      <c r="C450">
        <v>261</v>
      </c>
      <c r="D450">
        <v>3001</v>
      </c>
      <c r="E450" t="s">
        <v>101</v>
      </c>
      <c r="F450" t="s">
        <v>229</v>
      </c>
      <c r="G450" t="s">
        <v>230</v>
      </c>
      <c r="H450">
        <v>-30</v>
      </c>
      <c r="I450">
        <f>SUMIF($D$2:D450, D450, $H$2:H450)</f>
        <v>271</v>
      </c>
      <c r="J450" t="s">
        <v>103</v>
      </c>
      <c r="K450">
        <v>320</v>
      </c>
      <c r="L450">
        <f>ABS(Tabela4[[#This Row],[Quantidade]]*Tabela4[[#This Row],[Valor Unitario]])</f>
        <v>9600</v>
      </c>
      <c r="M450" t="s">
        <v>828</v>
      </c>
    </row>
    <row r="451" spans="1:13" hidden="1" x14ac:dyDescent="0.25">
      <c r="A451" s="17">
        <v>46165</v>
      </c>
      <c r="B451" t="s">
        <v>955</v>
      </c>
      <c r="C451">
        <v>261</v>
      </c>
      <c r="D451">
        <v>4001</v>
      </c>
      <c r="E451" t="s">
        <v>111</v>
      </c>
      <c r="F451" t="s">
        <v>229</v>
      </c>
      <c r="G451" t="s">
        <v>230</v>
      </c>
      <c r="H451">
        <v>-49</v>
      </c>
      <c r="I451">
        <f>SUMIF($D$2:D451, D451, $H$2:H451)</f>
        <v>2</v>
      </c>
      <c r="J451" t="s">
        <v>61</v>
      </c>
      <c r="K451">
        <v>3200</v>
      </c>
      <c r="L451">
        <f>ABS(Tabela4[[#This Row],[Quantidade]]*Tabela4[[#This Row],[Valor Unitario]])</f>
        <v>156800</v>
      </c>
      <c r="M451" t="s">
        <v>956</v>
      </c>
    </row>
    <row r="452" spans="1:13" hidden="1" x14ac:dyDescent="0.25">
      <c r="A452" s="17">
        <v>46165</v>
      </c>
      <c r="B452" t="s">
        <v>1243</v>
      </c>
      <c r="C452">
        <v>261</v>
      </c>
      <c r="D452">
        <v>6001</v>
      </c>
      <c r="E452" t="s">
        <v>131</v>
      </c>
      <c r="F452" t="s">
        <v>229</v>
      </c>
      <c r="G452" t="s">
        <v>230</v>
      </c>
      <c r="H452">
        <v>-3</v>
      </c>
      <c r="I452">
        <f>SUMIF($D$2:D452, D452, $H$2:H452)</f>
        <v>2</v>
      </c>
      <c r="J452" t="s">
        <v>61</v>
      </c>
      <c r="K452">
        <v>15800</v>
      </c>
      <c r="L452">
        <f>ABS(Tabela4[[#This Row],[Quantidade]]*Tabela4[[#This Row],[Valor Unitario]])</f>
        <v>47400</v>
      </c>
      <c r="M452" t="s">
        <v>1244</v>
      </c>
    </row>
    <row r="453" spans="1:13" hidden="1" x14ac:dyDescent="0.25">
      <c r="A453" s="17">
        <v>46166</v>
      </c>
      <c r="B453" t="s">
        <v>1659</v>
      </c>
      <c r="C453">
        <v>261</v>
      </c>
      <c r="D453">
        <v>9005</v>
      </c>
      <c r="E453" t="s">
        <v>163</v>
      </c>
      <c r="F453" t="s">
        <v>229</v>
      </c>
      <c r="G453" t="s">
        <v>230</v>
      </c>
      <c r="H453">
        <v>-45</v>
      </c>
      <c r="I453">
        <f>SUMIF($D$2:D453, D453, $H$2:H453)</f>
        <v>35</v>
      </c>
      <c r="J453" t="s">
        <v>61</v>
      </c>
      <c r="K453">
        <v>8.9</v>
      </c>
      <c r="L453">
        <f>ABS(Tabela4[[#This Row],[Quantidade]]*Tabela4[[#This Row],[Valor Unitario]])</f>
        <v>400.5</v>
      </c>
      <c r="M453" t="s">
        <v>1660</v>
      </c>
    </row>
    <row r="454" spans="1:13" hidden="1" x14ac:dyDescent="0.25">
      <c r="A454" s="17">
        <v>46167</v>
      </c>
      <c r="B454" t="s">
        <v>475</v>
      </c>
      <c r="C454">
        <v>261</v>
      </c>
      <c r="D454">
        <v>2008</v>
      </c>
      <c r="E454" t="s">
        <v>78</v>
      </c>
      <c r="F454" t="s">
        <v>229</v>
      </c>
      <c r="G454" t="s">
        <v>230</v>
      </c>
      <c r="H454">
        <v>-56</v>
      </c>
      <c r="I454">
        <f>SUMIF($D$2:D454, D454, $H$2:H454)</f>
        <v>60</v>
      </c>
      <c r="J454" t="s">
        <v>61</v>
      </c>
      <c r="K454">
        <v>24500</v>
      </c>
      <c r="L454">
        <f>ABS(Tabela4[[#This Row],[Quantidade]]*Tabela4[[#This Row],[Valor Unitario]])</f>
        <v>1372000</v>
      </c>
      <c r="M454" t="s">
        <v>476</v>
      </c>
    </row>
    <row r="455" spans="1:13" hidden="1" x14ac:dyDescent="0.25">
      <c r="A455" s="17">
        <v>46167</v>
      </c>
      <c r="B455" t="s">
        <v>1435</v>
      </c>
      <c r="C455">
        <v>261</v>
      </c>
      <c r="D455">
        <v>7003</v>
      </c>
      <c r="E455" t="s">
        <v>145</v>
      </c>
      <c r="F455" t="s">
        <v>229</v>
      </c>
      <c r="G455" t="s">
        <v>230</v>
      </c>
      <c r="H455">
        <v>-12</v>
      </c>
      <c r="I455">
        <f>SUMIF($D$2:D455, D455, $H$2:H455)</f>
        <v>112</v>
      </c>
      <c r="J455" t="s">
        <v>61</v>
      </c>
      <c r="K455">
        <v>130</v>
      </c>
      <c r="L455">
        <f>ABS(Tabela4[[#This Row],[Quantidade]]*Tabela4[[#This Row],[Valor Unitario]])</f>
        <v>1560</v>
      </c>
      <c r="M455" t="s">
        <v>1436</v>
      </c>
    </row>
    <row r="456" spans="1:13" hidden="1" x14ac:dyDescent="0.25">
      <c r="A456" s="17">
        <v>46168</v>
      </c>
      <c r="B456" t="s">
        <v>411</v>
      </c>
      <c r="C456">
        <v>261</v>
      </c>
      <c r="D456">
        <v>2006</v>
      </c>
      <c r="E456" t="s">
        <v>74</v>
      </c>
      <c r="F456" t="s">
        <v>229</v>
      </c>
      <c r="G456" t="s">
        <v>230</v>
      </c>
      <c r="H456">
        <v>-44</v>
      </c>
      <c r="I456">
        <f>SUMIF($D$2:D456, D456, $H$2:H456)</f>
        <v>81</v>
      </c>
      <c r="J456" t="s">
        <v>61</v>
      </c>
      <c r="K456">
        <v>2870</v>
      </c>
      <c r="L456">
        <f>ABS(Tabela4[[#This Row],[Quantidade]]*Tabela4[[#This Row],[Valor Unitario]])</f>
        <v>126280</v>
      </c>
      <c r="M456" t="s">
        <v>412</v>
      </c>
    </row>
    <row r="457" spans="1:13" hidden="1" x14ac:dyDescent="0.25">
      <c r="A457" s="17">
        <v>46168</v>
      </c>
      <c r="B457" t="s">
        <v>763</v>
      </c>
      <c r="C457">
        <v>261</v>
      </c>
      <c r="D457">
        <v>2360</v>
      </c>
      <c r="E457" t="s">
        <v>97</v>
      </c>
      <c r="F457" t="s">
        <v>229</v>
      </c>
      <c r="G457" t="s">
        <v>230</v>
      </c>
      <c r="H457">
        <v>-50</v>
      </c>
      <c r="I457">
        <f>SUMIF($D$2:D457, D457, $H$2:H457)</f>
        <v>-34</v>
      </c>
      <c r="J457" t="s">
        <v>61</v>
      </c>
      <c r="K457">
        <v>2380</v>
      </c>
      <c r="L457">
        <f>ABS(Tabela4[[#This Row],[Quantidade]]*Tabela4[[#This Row],[Valor Unitario]])</f>
        <v>119000</v>
      </c>
      <c r="M457" t="s">
        <v>764</v>
      </c>
    </row>
    <row r="458" spans="1:13" hidden="1" x14ac:dyDescent="0.25">
      <c r="A458" s="17">
        <v>46168</v>
      </c>
      <c r="B458" t="s">
        <v>1499</v>
      </c>
      <c r="C458">
        <v>261</v>
      </c>
      <c r="D458">
        <v>8002</v>
      </c>
      <c r="E458" t="s">
        <v>151</v>
      </c>
      <c r="F458" t="s">
        <v>229</v>
      </c>
      <c r="G458" t="s">
        <v>230</v>
      </c>
      <c r="H458">
        <v>-51</v>
      </c>
      <c r="I458">
        <f>SUMIF($D$2:D458, D458, $H$2:H458)</f>
        <v>-14</v>
      </c>
      <c r="J458" t="s">
        <v>152</v>
      </c>
      <c r="K458">
        <v>32</v>
      </c>
      <c r="L458">
        <f>ABS(Tabela4[[#This Row],[Quantidade]]*Tabela4[[#This Row],[Valor Unitario]])</f>
        <v>1632</v>
      </c>
      <c r="M458" t="s">
        <v>1500</v>
      </c>
    </row>
    <row r="459" spans="1:13" hidden="1" x14ac:dyDescent="0.25">
      <c r="A459" s="17">
        <v>46168</v>
      </c>
      <c r="B459" t="s">
        <v>1627</v>
      </c>
      <c r="C459">
        <v>261</v>
      </c>
      <c r="D459">
        <v>9004</v>
      </c>
      <c r="E459" t="s">
        <v>161</v>
      </c>
      <c r="F459" t="s">
        <v>229</v>
      </c>
      <c r="G459" t="s">
        <v>230</v>
      </c>
      <c r="H459">
        <v>-24</v>
      </c>
      <c r="I459">
        <f>SUMIF($D$2:D459, D459, $H$2:H459)</f>
        <v>91</v>
      </c>
      <c r="J459" t="s">
        <v>61</v>
      </c>
      <c r="K459">
        <v>45</v>
      </c>
      <c r="L459">
        <f>ABS(Tabela4[[#This Row],[Quantidade]]*Tabela4[[#This Row],[Valor Unitario]])</f>
        <v>1080</v>
      </c>
      <c r="M459" t="s">
        <v>1628</v>
      </c>
    </row>
    <row r="460" spans="1:13" hidden="1" x14ac:dyDescent="0.25">
      <c r="A460" s="17">
        <v>46170</v>
      </c>
      <c r="B460" t="s">
        <v>603</v>
      </c>
      <c r="C460">
        <v>261</v>
      </c>
      <c r="D460">
        <v>2012</v>
      </c>
      <c r="E460" t="s">
        <v>86</v>
      </c>
      <c r="F460" t="s">
        <v>229</v>
      </c>
      <c r="G460" t="s">
        <v>230</v>
      </c>
      <c r="H460">
        <v>-6</v>
      </c>
      <c r="I460">
        <f>SUMIF($D$2:D460, D460, $H$2:H460)</f>
        <v>113</v>
      </c>
      <c r="J460" t="s">
        <v>61</v>
      </c>
      <c r="K460">
        <v>5400</v>
      </c>
      <c r="L460">
        <f>ABS(Tabela4[[#This Row],[Quantidade]]*Tabela4[[#This Row],[Valor Unitario]])</f>
        <v>32400</v>
      </c>
      <c r="M460" t="s">
        <v>604</v>
      </c>
    </row>
    <row r="461" spans="1:13" hidden="1" x14ac:dyDescent="0.25">
      <c r="A461" s="17">
        <v>46170</v>
      </c>
      <c r="B461" t="s">
        <v>1179</v>
      </c>
      <c r="C461">
        <v>261</v>
      </c>
      <c r="D461">
        <v>5006</v>
      </c>
      <c r="E461" t="s">
        <v>127</v>
      </c>
      <c r="F461" t="s">
        <v>229</v>
      </c>
      <c r="G461" t="s">
        <v>230</v>
      </c>
      <c r="H461">
        <v>-80</v>
      </c>
      <c r="I461">
        <f>SUMIF($D$2:D461, D461, $H$2:H461)</f>
        <v>54</v>
      </c>
      <c r="J461" t="s">
        <v>103</v>
      </c>
      <c r="K461">
        <v>22</v>
      </c>
      <c r="L461">
        <f>ABS(Tabela4[[#This Row],[Quantidade]]*Tabela4[[#This Row],[Valor Unitario]])</f>
        <v>1760</v>
      </c>
      <c r="M461" t="s">
        <v>1180</v>
      </c>
    </row>
    <row r="462" spans="1:13" hidden="1" x14ac:dyDescent="0.25">
      <c r="A462" s="17">
        <v>46170</v>
      </c>
      <c r="B462" t="s">
        <v>1467</v>
      </c>
      <c r="C462">
        <v>261</v>
      </c>
      <c r="D462">
        <v>8001</v>
      </c>
      <c r="E462" t="s">
        <v>147</v>
      </c>
      <c r="F462" t="s">
        <v>229</v>
      </c>
      <c r="G462" t="s">
        <v>230</v>
      </c>
      <c r="H462">
        <v>-36</v>
      </c>
      <c r="I462">
        <f>SUMIF($D$2:D462, D462, $H$2:H462)</f>
        <v>-65</v>
      </c>
      <c r="J462" t="s">
        <v>149</v>
      </c>
      <c r="K462">
        <v>28</v>
      </c>
      <c r="L462">
        <f>ABS(Tabela4[[#This Row],[Quantidade]]*Tabela4[[#This Row],[Valor Unitario]])</f>
        <v>1008</v>
      </c>
      <c r="M462" t="s">
        <v>1468</v>
      </c>
    </row>
    <row r="463" spans="1:13" hidden="1" x14ac:dyDescent="0.25">
      <c r="A463" s="17">
        <v>46171</v>
      </c>
      <c r="B463" t="s">
        <v>1403</v>
      </c>
      <c r="C463">
        <v>261</v>
      </c>
      <c r="D463">
        <v>7002</v>
      </c>
      <c r="E463" t="s">
        <v>143</v>
      </c>
      <c r="F463" t="s">
        <v>229</v>
      </c>
      <c r="G463" t="s">
        <v>230</v>
      </c>
      <c r="H463">
        <v>-100</v>
      </c>
      <c r="I463">
        <f>SUMIF($D$2:D463, D463, $H$2:H463)</f>
        <v>-9</v>
      </c>
      <c r="J463" t="s">
        <v>61</v>
      </c>
      <c r="K463">
        <v>95</v>
      </c>
      <c r="L463">
        <f>ABS(Tabela4[[#This Row],[Quantidade]]*Tabela4[[#This Row],[Valor Unitario]])</f>
        <v>9500</v>
      </c>
      <c r="M463" t="s">
        <v>1404</v>
      </c>
    </row>
    <row r="464" spans="1:13" hidden="1" x14ac:dyDescent="0.25">
      <c r="A464" s="17">
        <v>46172</v>
      </c>
      <c r="B464" t="s">
        <v>859</v>
      </c>
      <c r="C464">
        <v>261</v>
      </c>
      <c r="D464">
        <v>3002</v>
      </c>
      <c r="E464" t="s">
        <v>105</v>
      </c>
      <c r="F464" t="s">
        <v>229</v>
      </c>
      <c r="G464" t="s">
        <v>230</v>
      </c>
      <c r="H464">
        <v>-57</v>
      </c>
      <c r="I464">
        <f>SUMIF($D$2:D464, D464, $H$2:H464)</f>
        <v>-44</v>
      </c>
      <c r="J464" t="s">
        <v>61</v>
      </c>
      <c r="K464">
        <v>95</v>
      </c>
      <c r="L464">
        <f>ABS(Tabela4[[#This Row],[Quantidade]]*Tabela4[[#This Row],[Valor Unitario]])</f>
        <v>5415</v>
      </c>
      <c r="M464" t="s">
        <v>860</v>
      </c>
    </row>
    <row r="465" spans="1:13" hidden="1" x14ac:dyDescent="0.25">
      <c r="A465" s="17">
        <v>46173</v>
      </c>
      <c r="B465" t="s">
        <v>635</v>
      </c>
      <c r="C465">
        <v>261</v>
      </c>
      <c r="D465">
        <v>2356</v>
      </c>
      <c r="E465" t="s">
        <v>88</v>
      </c>
      <c r="F465" t="s">
        <v>229</v>
      </c>
      <c r="G465" t="s">
        <v>230</v>
      </c>
      <c r="H465">
        <v>-33</v>
      </c>
      <c r="I465">
        <f>SUMIF($D$2:D465, D465, $H$2:H465)</f>
        <v>20</v>
      </c>
      <c r="J465" t="s">
        <v>61</v>
      </c>
      <c r="K465">
        <v>145</v>
      </c>
      <c r="L465">
        <f>ABS(Tabela4[[#This Row],[Quantidade]]*Tabela4[[#This Row],[Valor Unitario]])</f>
        <v>4785</v>
      </c>
      <c r="M465" t="s">
        <v>636</v>
      </c>
    </row>
    <row r="466" spans="1:13" hidden="1" x14ac:dyDescent="0.25">
      <c r="A466" s="17">
        <v>46173</v>
      </c>
      <c r="B466" t="s">
        <v>667</v>
      </c>
      <c r="C466">
        <v>261</v>
      </c>
      <c r="D466">
        <v>2357</v>
      </c>
      <c r="E466" t="s">
        <v>91</v>
      </c>
      <c r="F466" t="s">
        <v>229</v>
      </c>
      <c r="G466" t="s">
        <v>230</v>
      </c>
      <c r="H466">
        <v>-52</v>
      </c>
      <c r="I466">
        <f>SUMIF($D$2:D466, D466, $H$2:H466)</f>
        <v>47</v>
      </c>
      <c r="J466" t="s">
        <v>61</v>
      </c>
      <c r="K466">
        <v>210</v>
      </c>
      <c r="L466">
        <f>ABS(Tabela4[[#This Row],[Quantidade]]*Tabela4[[#This Row],[Valor Unitario]])</f>
        <v>10920</v>
      </c>
      <c r="M466" t="s">
        <v>668</v>
      </c>
    </row>
    <row r="467" spans="1:13" hidden="1" x14ac:dyDescent="0.25">
      <c r="A467" s="17">
        <v>46173</v>
      </c>
      <c r="B467" t="s">
        <v>1019</v>
      </c>
      <c r="C467">
        <v>261</v>
      </c>
      <c r="D467">
        <v>5001</v>
      </c>
      <c r="E467" t="s">
        <v>116</v>
      </c>
      <c r="F467" t="s">
        <v>229</v>
      </c>
      <c r="G467" t="s">
        <v>230</v>
      </c>
      <c r="H467">
        <v>-77</v>
      </c>
      <c r="I467">
        <f>SUMIF($D$2:D467, D467, $H$2:H467)</f>
        <v>97</v>
      </c>
      <c r="J467" t="s">
        <v>61</v>
      </c>
      <c r="K467">
        <v>32500</v>
      </c>
      <c r="L467">
        <f>ABS(Tabela4[[#This Row],[Quantidade]]*Tabela4[[#This Row],[Valor Unitario]])</f>
        <v>2502500</v>
      </c>
      <c r="M467" t="s">
        <v>1020</v>
      </c>
    </row>
    <row r="468" spans="1:13" hidden="1" x14ac:dyDescent="0.25">
      <c r="A468" s="17">
        <v>46173</v>
      </c>
      <c r="B468" t="s">
        <v>1307</v>
      </c>
      <c r="C468">
        <v>261</v>
      </c>
      <c r="D468">
        <v>6003</v>
      </c>
      <c r="E468" t="s">
        <v>136</v>
      </c>
      <c r="F468" t="s">
        <v>229</v>
      </c>
      <c r="G468" t="s">
        <v>230</v>
      </c>
      <c r="H468">
        <v>-9</v>
      </c>
      <c r="I468">
        <f>SUMIF($D$2:D468, D468, $H$2:H468)</f>
        <v>52</v>
      </c>
      <c r="J468" t="s">
        <v>103</v>
      </c>
      <c r="K468">
        <v>85</v>
      </c>
      <c r="L468">
        <f>ABS(Tabela4[[#This Row],[Quantidade]]*Tabela4[[#This Row],[Valor Unitario]])</f>
        <v>765</v>
      </c>
      <c r="M468" t="s">
        <v>1308</v>
      </c>
    </row>
    <row r="469" spans="1:13" hidden="1" x14ac:dyDescent="0.25">
      <c r="A469" s="17">
        <v>46173</v>
      </c>
      <c r="B469" t="s">
        <v>1531</v>
      </c>
      <c r="C469">
        <v>261</v>
      </c>
      <c r="D469">
        <v>9001</v>
      </c>
      <c r="E469" t="s">
        <v>154</v>
      </c>
      <c r="F469" t="s">
        <v>229</v>
      </c>
      <c r="G469" t="s">
        <v>230</v>
      </c>
      <c r="H469">
        <v>-45</v>
      </c>
      <c r="I469">
        <f>SUMIF($D$2:D469, D469, $H$2:H469)</f>
        <v>116</v>
      </c>
      <c r="J469" t="s">
        <v>61</v>
      </c>
      <c r="K469">
        <v>18</v>
      </c>
      <c r="L469">
        <f>ABS(Tabela4[[#This Row],[Quantidade]]*Tabela4[[#This Row],[Valor Unitario]])</f>
        <v>810</v>
      </c>
      <c r="M469" t="s">
        <v>1532</v>
      </c>
    </row>
    <row r="470" spans="1:13" hidden="1" x14ac:dyDescent="0.25">
      <c r="A470" s="17">
        <v>46174</v>
      </c>
      <c r="B470" t="s">
        <v>445</v>
      </c>
      <c r="C470">
        <v>101</v>
      </c>
      <c r="D470">
        <v>2007</v>
      </c>
      <c r="E470" t="s">
        <v>76</v>
      </c>
      <c r="F470" t="s">
        <v>229</v>
      </c>
      <c r="G470" t="s">
        <v>230</v>
      </c>
      <c r="H470">
        <v>62</v>
      </c>
      <c r="I470">
        <f>SUMIF($D$2:D470, D470, $H$2:H470)</f>
        <v>89</v>
      </c>
      <c r="J470" t="s">
        <v>61</v>
      </c>
      <c r="K470">
        <v>1980</v>
      </c>
      <c r="L470">
        <f>ABS(Tabela4[[#This Row],[Quantidade]]*Tabela4[[#This Row],[Valor Unitario]])</f>
        <v>122760</v>
      </c>
      <c r="M470" t="s">
        <v>446</v>
      </c>
    </row>
    <row r="471" spans="1:13" hidden="1" x14ac:dyDescent="0.25">
      <c r="A471" s="17">
        <v>46174</v>
      </c>
      <c r="B471" t="s">
        <v>573</v>
      </c>
      <c r="C471">
        <v>101</v>
      </c>
      <c r="D471">
        <v>2011</v>
      </c>
      <c r="E471" t="s">
        <v>84</v>
      </c>
      <c r="F471" t="s">
        <v>229</v>
      </c>
      <c r="G471" t="s">
        <v>230</v>
      </c>
      <c r="H471">
        <v>33</v>
      </c>
      <c r="I471">
        <f>SUMIF($D$2:D471, D471, $H$2:H471)</f>
        <v>-21</v>
      </c>
      <c r="J471" t="s">
        <v>61</v>
      </c>
      <c r="K471">
        <v>9800</v>
      </c>
      <c r="L471">
        <f>ABS(Tabela4[[#This Row],[Quantidade]]*Tabela4[[#This Row],[Valor Unitario]])</f>
        <v>323400</v>
      </c>
      <c r="M471" t="s">
        <v>574</v>
      </c>
    </row>
    <row r="472" spans="1:13" hidden="1" x14ac:dyDescent="0.25">
      <c r="A472" s="17">
        <v>46174</v>
      </c>
      <c r="B472" t="s">
        <v>829</v>
      </c>
      <c r="C472">
        <v>101</v>
      </c>
      <c r="D472">
        <v>3001</v>
      </c>
      <c r="E472" t="s">
        <v>101</v>
      </c>
      <c r="F472" t="s">
        <v>229</v>
      </c>
      <c r="G472" t="s">
        <v>230</v>
      </c>
      <c r="H472">
        <v>62</v>
      </c>
      <c r="I472">
        <f>SUMIF($D$2:D472, D472, $H$2:H472)</f>
        <v>333</v>
      </c>
      <c r="J472" t="s">
        <v>103</v>
      </c>
      <c r="K472">
        <v>320</v>
      </c>
      <c r="L472">
        <f>ABS(Tabela4[[#This Row],[Quantidade]]*Tabela4[[#This Row],[Valor Unitario]])</f>
        <v>19840</v>
      </c>
      <c r="M472" t="s">
        <v>830</v>
      </c>
    </row>
    <row r="473" spans="1:13" hidden="1" x14ac:dyDescent="0.25">
      <c r="A473" s="17">
        <v>46174</v>
      </c>
      <c r="B473" t="s">
        <v>1021</v>
      </c>
      <c r="C473">
        <v>101</v>
      </c>
      <c r="D473">
        <v>5001</v>
      </c>
      <c r="E473" t="s">
        <v>116</v>
      </c>
      <c r="F473" t="s">
        <v>229</v>
      </c>
      <c r="G473" t="s">
        <v>230</v>
      </c>
      <c r="H473">
        <v>98</v>
      </c>
      <c r="I473">
        <f>SUMIF($D$2:D473, D473, $H$2:H473)</f>
        <v>195</v>
      </c>
      <c r="J473" t="s">
        <v>61</v>
      </c>
      <c r="K473">
        <v>32500</v>
      </c>
      <c r="L473">
        <f>ABS(Tabela4[[#This Row],[Quantidade]]*Tabela4[[#This Row],[Valor Unitario]])</f>
        <v>3185000</v>
      </c>
      <c r="M473" t="s">
        <v>1022</v>
      </c>
    </row>
    <row r="474" spans="1:13" hidden="1" x14ac:dyDescent="0.25">
      <c r="A474" s="17">
        <v>46174</v>
      </c>
      <c r="B474" t="s">
        <v>1277</v>
      </c>
      <c r="C474">
        <v>101</v>
      </c>
      <c r="D474">
        <v>6002</v>
      </c>
      <c r="E474" t="s">
        <v>134</v>
      </c>
      <c r="F474" t="s">
        <v>229</v>
      </c>
      <c r="G474" t="s">
        <v>230</v>
      </c>
      <c r="H474">
        <v>12</v>
      </c>
      <c r="I474">
        <f>SUMIF($D$2:D474, D474, $H$2:H474)</f>
        <v>97</v>
      </c>
      <c r="J474" t="s">
        <v>61</v>
      </c>
      <c r="K474">
        <v>6900</v>
      </c>
      <c r="L474">
        <f>ABS(Tabela4[[#This Row],[Quantidade]]*Tabela4[[#This Row],[Valor Unitario]])</f>
        <v>82800</v>
      </c>
      <c r="M474" t="s">
        <v>1278</v>
      </c>
    </row>
    <row r="475" spans="1:13" hidden="1" x14ac:dyDescent="0.25">
      <c r="A475" s="17">
        <v>46174</v>
      </c>
      <c r="B475" t="s">
        <v>1629</v>
      </c>
      <c r="C475">
        <v>101</v>
      </c>
      <c r="D475">
        <v>9004</v>
      </c>
      <c r="E475" t="s">
        <v>161</v>
      </c>
      <c r="F475" t="s">
        <v>229</v>
      </c>
      <c r="G475" t="s">
        <v>230</v>
      </c>
      <c r="H475">
        <v>74</v>
      </c>
      <c r="I475">
        <f>SUMIF($D$2:D475, D475, $H$2:H475)</f>
        <v>165</v>
      </c>
      <c r="J475" t="s">
        <v>61</v>
      </c>
      <c r="K475">
        <v>45</v>
      </c>
      <c r="L475">
        <f>ABS(Tabela4[[#This Row],[Quantidade]]*Tabela4[[#This Row],[Valor Unitario]])</f>
        <v>3330</v>
      </c>
      <c r="M475" t="s">
        <v>1630</v>
      </c>
    </row>
    <row r="476" spans="1:13" hidden="1" x14ac:dyDescent="0.25">
      <c r="A476" s="17">
        <v>46175</v>
      </c>
      <c r="B476" t="s">
        <v>509</v>
      </c>
      <c r="C476">
        <v>101</v>
      </c>
      <c r="D476">
        <v>2009</v>
      </c>
      <c r="E476" t="s">
        <v>80</v>
      </c>
      <c r="F476" t="s">
        <v>229</v>
      </c>
      <c r="G476" t="s">
        <v>230</v>
      </c>
      <c r="H476">
        <v>1</v>
      </c>
      <c r="I476">
        <f>SUMIF($D$2:D476, D476, $H$2:H476)</f>
        <v>67</v>
      </c>
      <c r="J476" t="s">
        <v>61</v>
      </c>
      <c r="K476">
        <v>1650</v>
      </c>
      <c r="L476">
        <f>ABS(Tabela4[[#This Row],[Quantidade]]*Tabela4[[#This Row],[Valor Unitario]])</f>
        <v>1650</v>
      </c>
      <c r="M476" t="s">
        <v>510</v>
      </c>
    </row>
    <row r="477" spans="1:13" hidden="1" x14ac:dyDescent="0.25">
      <c r="A477" s="17">
        <v>46175</v>
      </c>
      <c r="B477" t="s">
        <v>1053</v>
      </c>
      <c r="C477">
        <v>101</v>
      </c>
      <c r="D477">
        <v>5002</v>
      </c>
      <c r="E477" t="s">
        <v>119</v>
      </c>
      <c r="F477" t="s">
        <v>229</v>
      </c>
      <c r="G477" t="s">
        <v>230</v>
      </c>
      <c r="H477">
        <v>92</v>
      </c>
      <c r="I477">
        <f>SUMIF($D$2:D477, D477, $H$2:H477)</f>
        <v>78</v>
      </c>
      <c r="J477" t="s">
        <v>61</v>
      </c>
      <c r="K477">
        <v>17800</v>
      </c>
      <c r="L477">
        <f>ABS(Tabela4[[#This Row],[Quantidade]]*Tabela4[[#This Row],[Valor Unitario]])</f>
        <v>1637600</v>
      </c>
      <c r="M477" t="s">
        <v>1054</v>
      </c>
    </row>
    <row r="478" spans="1:13" hidden="1" x14ac:dyDescent="0.25">
      <c r="A478" s="17">
        <v>46175</v>
      </c>
      <c r="B478" t="s">
        <v>1085</v>
      </c>
      <c r="C478">
        <v>101</v>
      </c>
      <c r="D478">
        <v>5003</v>
      </c>
      <c r="E478" t="s">
        <v>121</v>
      </c>
      <c r="F478" t="s">
        <v>229</v>
      </c>
      <c r="G478" t="s">
        <v>230</v>
      </c>
      <c r="H478">
        <v>98</v>
      </c>
      <c r="I478">
        <f>SUMIF($D$2:D478, D478, $H$2:H478)</f>
        <v>161</v>
      </c>
      <c r="J478" t="s">
        <v>61</v>
      </c>
      <c r="K478">
        <v>8900</v>
      </c>
      <c r="L478">
        <f>ABS(Tabela4[[#This Row],[Quantidade]]*Tabela4[[#This Row],[Valor Unitario]])</f>
        <v>872200</v>
      </c>
      <c r="M478" t="s">
        <v>1086</v>
      </c>
    </row>
    <row r="479" spans="1:13" hidden="1" x14ac:dyDescent="0.25">
      <c r="A479" s="17">
        <v>46176</v>
      </c>
      <c r="B479" t="s">
        <v>379</v>
      </c>
      <c r="C479">
        <v>101</v>
      </c>
      <c r="D479">
        <v>2004</v>
      </c>
      <c r="E479" t="s">
        <v>69</v>
      </c>
      <c r="F479" t="s">
        <v>229</v>
      </c>
      <c r="G479" t="s">
        <v>230</v>
      </c>
      <c r="H479">
        <v>33</v>
      </c>
      <c r="I479">
        <f>SUMIF($D$2:D479, D479, $H$2:H479)</f>
        <v>91</v>
      </c>
      <c r="J479" t="s">
        <v>61</v>
      </c>
      <c r="K479">
        <v>11800</v>
      </c>
      <c r="L479">
        <f>ABS(Tabela4[[#This Row],[Quantidade]]*Tabela4[[#This Row],[Valor Unitario]])</f>
        <v>389400</v>
      </c>
      <c r="M479" t="s">
        <v>289</v>
      </c>
    </row>
    <row r="480" spans="1:13" hidden="1" x14ac:dyDescent="0.25">
      <c r="A480" s="17">
        <v>46176</v>
      </c>
      <c r="B480" t="s">
        <v>605</v>
      </c>
      <c r="C480">
        <v>101</v>
      </c>
      <c r="D480">
        <v>2012</v>
      </c>
      <c r="E480" t="s">
        <v>86</v>
      </c>
      <c r="F480" t="s">
        <v>229</v>
      </c>
      <c r="G480" t="s">
        <v>230</v>
      </c>
      <c r="H480">
        <v>37</v>
      </c>
      <c r="I480">
        <f>SUMIF($D$2:D480, D480, $H$2:H480)</f>
        <v>150</v>
      </c>
      <c r="J480" t="s">
        <v>61</v>
      </c>
      <c r="K480">
        <v>5400</v>
      </c>
      <c r="L480">
        <f>ABS(Tabela4[[#This Row],[Quantidade]]*Tabela4[[#This Row],[Valor Unitario]])</f>
        <v>199800</v>
      </c>
      <c r="M480" t="s">
        <v>606</v>
      </c>
    </row>
    <row r="481" spans="1:13" hidden="1" x14ac:dyDescent="0.25">
      <c r="A481" s="17">
        <v>46176</v>
      </c>
      <c r="B481" t="s">
        <v>765</v>
      </c>
      <c r="C481">
        <v>101</v>
      </c>
      <c r="D481">
        <v>2360</v>
      </c>
      <c r="E481" t="s">
        <v>97</v>
      </c>
      <c r="F481" t="s">
        <v>229</v>
      </c>
      <c r="G481" t="s">
        <v>230</v>
      </c>
      <c r="H481">
        <v>33</v>
      </c>
      <c r="I481">
        <f>SUMIF($D$2:D481, D481, $H$2:H481)</f>
        <v>-1</v>
      </c>
      <c r="J481" t="s">
        <v>61</v>
      </c>
      <c r="K481">
        <v>2380</v>
      </c>
      <c r="L481">
        <f>ABS(Tabela4[[#This Row],[Quantidade]]*Tabela4[[#This Row],[Valor Unitario]])</f>
        <v>78540</v>
      </c>
      <c r="M481" t="s">
        <v>766</v>
      </c>
    </row>
    <row r="482" spans="1:13" hidden="1" x14ac:dyDescent="0.25">
      <c r="A482" s="17">
        <v>46176</v>
      </c>
      <c r="B482" t="s">
        <v>1213</v>
      </c>
      <c r="C482">
        <v>101</v>
      </c>
      <c r="D482">
        <v>5007</v>
      </c>
      <c r="E482" t="s">
        <v>129</v>
      </c>
      <c r="F482" t="s">
        <v>229</v>
      </c>
      <c r="G482" t="s">
        <v>230</v>
      </c>
      <c r="H482">
        <v>18</v>
      </c>
      <c r="I482">
        <f>SUMIF($D$2:D482, D482, $H$2:H482)</f>
        <v>-22</v>
      </c>
      <c r="J482" t="s">
        <v>61</v>
      </c>
      <c r="K482">
        <v>340</v>
      </c>
      <c r="L482">
        <f>ABS(Tabela4[[#This Row],[Quantidade]]*Tabela4[[#This Row],[Valor Unitario]])</f>
        <v>6120</v>
      </c>
      <c r="M482" t="s">
        <v>1214</v>
      </c>
    </row>
    <row r="483" spans="1:13" hidden="1" x14ac:dyDescent="0.25">
      <c r="A483" s="17">
        <v>46176</v>
      </c>
      <c r="B483" t="s">
        <v>1245</v>
      </c>
      <c r="C483">
        <v>101</v>
      </c>
      <c r="D483">
        <v>6001</v>
      </c>
      <c r="E483" t="s">
        <v>131</v>
      </c>
      <c r="F483" t="s">
        <v>229</v>
      </c>
      <c r="G483" t="s">
        <v>230</v>
      </c>
      <c r="H483">
        <v>31</v>
      </c>
      <c r="I483">
        <f>SUMIF($D$2:D483, D483, $H$2:H483)</f>
        <v>33</v>
      </c>
      <c r="J483" t="s">
        <v>61</v>
      </c>
      <c r="K483">
        <v>15800</v>
      </c>
      <c r="L483">
        <f>ABS(Tabela4[[#This Row],[Quantidade]]*Tabela4[[#This Row],[Valor Unitario]])</f>
        <v>489800</v>
      </c>
      <c r="M483" t="s">
        <v>1246</v>
      </c>
    </row>
    <row r="484" spans="1:13" hidden="1" x14ac:dyDescent="0.25">
      <c r="A484" s="17">
        <v>46176</v>
      </c>
      <c r="B484" t="s">
        <v>1341</v>
      </c>
      <c r="C484">
        <v>101</v>
      </c>
      <c r="D484">
        <v>6004</v>
      </c>
      <c r="E484" t="s">
        <v>138</v>
      </c>
      <c r="F484" t="s">
        <v>229</v>
      </c>
      <c r="G484" t="s">
        <v>230</v>
      </c>
      <c r="H484">
        <v>78</v>
      </c>
      <c r="I484">
        <f>SUMIF($D$2:D484, D484, $H$2:H484)</f>
        <v>334</v>
      </c>
      <c r="J484" t="s">
        <v>61</v>
      </c>
      <c r="K484">
        <v>2650</v>
      </c>
      <c r="L484">
        <f>ABS(Tabela4[[#This Row],[Quantidade]]*Tabela4[[#This Row],[Valor Unitario]])</f>
        <v>206700</v>
      </c>
      <c r="M484" t="s">
        <v>1342</v>
      </c>
    </row>
    <row r="485" spans="1:13" hidden="1" x14ac:dyDescent="0.25">
      <c r="A485" s="17">
        <v>46176</v>
      </c>
      <c r="B485" t="s">
        <v>1373</v>
      </c>
      <c r="C485">
        <v>101</v>
      </c>
      <c r="D485">
        <v>7001</v>
      </c>
      <c r="E485" t="s">
        <v>140</v>
      </c>
      <c r="F485" t="s">
        <v>229</v>
      </c>
      <c r="G485" t="s">
        <v>230</v>
      </c>
      <c r="H485">
        <v>7</v>
      </c>
      <c r="I485">
        <f>SUMIF($D$2:D485, D485, $H$2:H485)</f>
        <v>40</v>
      </c>
      <c r="J485" t="s">
        <v>61</v>
      </c>
      <c r="K485">
        <v>210</v>
      </c>
      <c r="L485">
        <f>ABS(Tabela4[[#This Row],[Quantidade]]*Tabela4[[#This Row],[Valor Unitario]])</f>
        <v>1470</v>
      </c>
      <c r="M485" t="s">
        <v>1374</v>
      </c>
    </row>
    <row r="486" spans="1:13" hidden="1" x14ac:dyDescent="0.25">
      <c r="A486" s="17">
        <v>46177</v>
      </c>
      <c r="B486" t="s">
        <v>413</v>
      </c>
      <c r="C486">
        <v>101</v>
      </c>
      <c r="D486">
        <v>2006</v>
      </c>
      <c r="E486" t="s">
        <v>74</v>
      </c>
      <c r="F486" t="s">
        <v>229</v>
      </c>
      <c r="G486" t="s">
        <v>230</v>
      </c>
      <c r="H486">
        <v>30</v>
      </c>
      <c r="I486">
        <f>SUMIF($D$2:D486, D486, $H$2:H486)</f>
        <v>111</v>
      </c>
      <c r="J486" t="s">
        <v>61</v>
      </c>
      <c r="K486">
        <v>2870</v>
      </c>
      <c r="L486">
        <f>ABS(Tabela4[[#This Row],[Quantidade]]*Tabela4[[#This Row],[Valor Unitario]])</f>
        <v>86100</v>
      </c>
      <c r="M486" t="s">
        <v>414</v>
      </c>
    </row>
    <row r="487" spans="1:13" hidden="1" x14ac:dyDescent="0.25">
      <c r="A487" s="17">
        <v>46177</v>
      </c>
      <c r="B487" t="s">
        <v>541</v>
      </c>
      <c r="C487">
        <v>101</v>
      </c>
      <c r="D487">
        <v>2010</v>
      </c>
      <c r="E487" t="s">
        <v>82</v>
      </c>
      <c r="F487" t="s">
        <v>229</v>
      </c>
      <c r="G487" t="s">
        <v>230</v>
      </c>
      <c r="H487">
        <v>75</v>
      </c>
      <c r="I487">
        <f>SUMIF($D$2:D487, D487, $H$2:H487)</f>
        <v>78</v>
      </c>
      <c r="J487" t="s">
        <v>61</v>
      </c>
      <c r="K487">
        <v>2150</v>
      </c>
      <c r="L487">
        <f>ABS(Tabela4[[#This Row],[Quantidade]]*Tabela4[[#This Row],[Valor Unitario]])</f>
        <v>161250</v>
      </c>
      <c r="M487" t="s">
        <v>542</v>
      </c>
    </row>
    <row r="488" spans="1:13" hidden="1" x14ac:dyDescent="0.25">
      <c r="A488" s="17">
        <v>46177</v>
      </c>
      <c r="B488" t="s">
        <v>797</v>
      </c>
      <c r="C488">
        <v>101</v>
      </c>
      <c r="D488">
        <v>2361</v>
      </c>
      <c r="E488" t="s">
        <v>99</v>
      </c>
      <c r="F488" t="s">
        <v>229</v>
      </c>
      <c r="G488" t="s">
        <v>230</v>
      </c>
      <c r="H488">
        <v>58</v>
      </c>
      <c r="I488">
        <f>SUMIF($D$2:D488, D488, $H$2:H488)</f>
        <v>73</v>
      </c>
      <c r="J488" t="s">
        <v>61</v>
      </c>
      <c r="K488">
        <v>68</v>
      </c>
      <c r="L488">
        <f>ABS(Tabela4[[#This Row],[Quantidade]]*Tabela4[[#This Row],[Valor Unitario]])</f>
        <v>3944</v>
      </c>
      <c r="M488" t="s">
        <v>798</v>
      </c>
    </row>
    <row r="489" spans="1:13" hidden="1" x14ac:dyDescent="0.25">
      <c r="A489" s="17">
        <v>46178</v>
      </c>
      <c r="B489" t="s">
        <v>701</v>
      </c>
      <c r="C489">
        <v>101</v>
      </c>
      <c r="D489">
        <v>2358</v>
      </c>
      <c r="E489" t="s">
        <v>93</v>
      </c>
      <c r="F489" t="s">
        <v>229</v>
      </c>
      <c r="G489" t="s">
        <v>230</v>
      </c>
      <c r="H489">
        <v>1</v>
      </c>
      <c r="I489">
        <f>SUMIF($D$2:D489, D489, $H$2:H489)</f>
        <v>104</v>
      </c>
      <c r="J489" t="s">
        <v>61</v>
      </c>
      <c r="K489">
        <v>890</v>
      </c>
      <c r="L489">
        <f>ABS(Tabela4[[#This Row],[Quantidade]]*Tabela4[[#This Row],[Valor Unitario]])</f>
        <v>890</v>
      </c>
      <c r="M489" t="s">
        <v>702</v>
      </c>
    </row>
    <row r="490" spans="1:13" hidden="1" x14ac:dyDescent="0.25">
      <c r="A490" s="17">
        <v>46179</v>
      </c>
      <c r="B490" t="s">
        <v>893</v>
      </c>
      <c r="C490">
        <v>101</v>
      </c>
      <c r="D490">
        <v>3003</v>
      </c>
      <c r="E490" t="s">
        <v>107</v>
      </c>
      <c r="F490" t="s">
        <v>229</v>
      </c>
      <c r="G490" t="s">
        <v>230</v>
      </c>
      <c r="H490">
        <v>17</v>
      </c>
      <c r="I490">
        <f>SUMIF($D$2:D490, D490, $H$2:H490)</f>
        <v>93</v>
      </c>
      <c r="J490" t="s">
        <v>61</v>
      </c>
      <c r="K490">
        <v>2450</v>
      </c>
      <c r="L490">
        <f>ABS(Tabela4[[#This Row],[Quantidade]]*Tabela4[[#This Row],[Valor Unitario]])</f>
        <v>41650</v>
      </c>
      <c r="M490" t="s">
        <v>894</v>
      </c>
    </row>
    <row r="491" spans="1:13" hidden="1" x14ac:dyDescent="0.25">
      <c r="A491" s="17">
        <v>46179</v>
      </c>
      <c r="B491" t="s">
        <v>1469</v>
      </c>
      <c r="C491">
        <v>101</v>
      </c>
      <c r="D491">
        <v>8001</v>
      </c>
      <c r="E491" t="s">
        <v>147</v>
      </c>
      <c r="F491" t="s">
        <v>229</v>
      </c>
      <c r="G491" t="s">
        <v>230</v>
      </c>
      <c r="H491">
        <v>87</v>
      </c>
      <c r="I491">
        <f>SUMIF($D$2:D491, D491, $H$2:H491)</f>
        <v>22</v>
      </c>
      <c r="J491" t="s">
        <v>149</v>
      </c>
      <c r="K491">
        <v>28</v>
      </c>
      <c r="L491">
        <f>ABS(Tabela4[[#This Row],[Quantidade]]*Tabela4[[#This Row],[Valor Unitario]])</f>
        <v>2436</v>
      </c>
      <c r="M491" t="s">
        <v>1470</v>
      </c>
    </row>
    <row r="492" spans="1:13" hidden="1" x14ac:dyDescent="0.25">
      <c r="A492" s="17">
        <v>46179</v>
      </c>
      <c r="B492" t="s">
        <v>1501</v>
      </c>
      <c r="C492">
        <v>101</v>
      </c>
      <c r="D492">
        <v>8002</v>
      </c>
      <c r="E492" t="s">
        <v>151</v>
      </c>
      <c r="F492" t="s">
        <v>229</v>
      </c>
      <c r="G492" t="s">
        <v>230</v>
      </c>
      <c r="H492">
        <v>24</v>
      </c>
      <c r="I492">
        <f>SUMIF($D$2:D492, D492, $H$2:H492)</f>
        <v>10</v>
      </c>
      <c r="J492" t="s">
        <v>152</v>
      </c>
      <c r="K492">
        <v>32</v>
      </c>
      <c r="L492">
        <f>ABS(Tabela4[[#This Row],[Quantidade]]*Tabela4[[#This Row],[Valor Unitario]])</f>
        <v>768</v>
      </c>
      <c r="M492" t="s">
        <v>1502</v>
      </c>
    </row>
    <row r="493" spans="1:13" hidden="1" x14ac:dyDescent="0.25">
      <c r="A493" s="17">
        <v>46180</v>
      </c>
      <c r="B493" t="s">
        <v>861</v>
      </c>
      <c r="C493">
        <v>101</v>
      </c>
      <c r="D493">
        <v>3002</v>
      </c>
      <c r="E493" t="s">
        <v>105</v>
      </c>
      <c r="F493" t="s">
        <v>229</v>
      </c>
      <c r="G493" t="s">
        <v>230</v>
      </c>
      <c r="H493">
        <v>53</v>
      </c>
      <c r="I493">
        <f>SUMIF($D$2:D493, D493, $H$2:H493)</f>
        <v>9</v>
      </c>
      <c r="J493" t="s">
        <v>61</v>
      </c>
      <c r="K493">
        <v>95</v>
      </c>
      <c r="L493">
        <f>ABS(Tabela4[[#This Row],[Quantidade]]*Tabela4[[#This Row],[Valor Unitario]])</f>
        <v>5035</v>
      </c>
      <c r="M493" t="s">
        <v>862</v>
      </c>
    </row>
    <row r="494" spans="1:13" hidden="1" x14ac:dyDescent="0.25">
      <c r="A494" s="17">
        <v>46180</v>
      </c>
      <c r="B494" t="s">
        <v>1597</v>
      </c>
      <c r="C494">
        <v>101</v>
      </c>
      <c r="D494">
        <v>9003</v>
      </c>
      <c r="E494" t="s">
        <v>159</v>
      </c>
      <c r="F494" t="s">
        <v>229</v>
      </c>
      <c r="G494" t="s">
        <v>230</v>
      </c>
      <c r="H494">
        <v>33</v>
      </c>
      <c r="I494">
        <f>SUMIF($D$2:D494, D494, $H$2:H494)</f>
        <v>43</v>
      </c>
      <c r="J494" t="s">
        <v>61</v>
      </c>
      <c r="K494">
        <v>2.2000000000000002</v>
      </c>
      <c r="L494">
        <f>ABS(Tabela4[[#This Row],[Quantidade]]*Tabela4[[#This Row],[Valor Unitario]])</f>
        <v>72.600000000000009</v>
      </c>
      <c r="M494" t="s">
        <v>1598</v>
      </c>
    </row>
    <row r="495" spans="1:13" hidden="1" x14ac:dyDescent="0.25">
      <c r="A495" s="17">
        <v>46181</v>
      </c>
      <c r="B495" t="s">
        <v>1565</v>
      </c>
      <c r="C495">
        <v>101</v>
      </c>
      <c r="D495">
        <v>9002</v>
      </c>
      <c r="E495" t="s">
        <v>157</v>
      </c>
      <c r="F495" t="s">
        <v>229</v>
      </c>
      <c r="G495" t="s">
        <v>230</v>
      </c>
      <c r="H495">
        <v>65</v>
      </c>
      <c r="I495">
        <f>SUMIF($D$2:D495, D495, $H$2:H495)</f>
        <v>183</v>
      </c>
      <c r="J495" t="s">
        <v>61</v>
      </c>
      <c r="K495">
        <v>6.5</v>
      </c>
      <c r="L495">
        <f>ABS(Tabela4[[#This Row],[Quantidade]]*Tabela4[[#This Row],[Valor Unitario]])</f>
        <v>422.5</v>
      </c>
      <c r="M495" t="s">
        <v>1566</v>
      </c>
    </row>
    <row r="496" spans="1:13" hidden="1" x14ac:dyDescent="0.25">
      <c r="A496" s="17">
        <v>46182</v>
      </c>
      <c r="B496" t="s">
        <v>395</v>
      </c>
      <c r="C496">
        <v>101</v>
      </c>
      <c r="D496">
        <v>2005</v>
      </c>
      <c r="E496" t="s">
        <v>71</v>
      </c>
      <c r="F496" t="s">
        <v>229</v>
      </c>
      <c r="G496" t="s">
        <v>230</v>
      </c>
      <c r="H496">
        <v>79</v>
      </c>
      <c r="I496">
        <f>SUMIF($D$2:D496, D496, $H$2:H496)</f>
        <v>91</v>
      </c>
      <c r="J496" t="s">
        <v>61</v>
      </c>
      <c r="K496">
        <v>3450</v>
      </c>
      <c r="L496">
        <f>ABS(Tabela4[[#This Row],[Quantidade]]*Tabela4[[#This Row],[Valor Unitario]])</f>
        <v>272550</v>
      </c>
      <c r="M496" t="s">
        <v>305</v>
      </c>
    </row>
    <row r="497" spans="1:13" hidden="1" x14ac:dyDescent="0.25">
      <c r="A497" s="17">
        <v>46182</v>
      </c>
      <c r="B497" t="s">
        <v>637</v>
      </c>
      <c r="C497">
        <v>101</v>
      </c>
      <c r="D497">
        <v>2356</v>
      </c>
      <c r="E497" t="s">
        <v>88</v>
      </c>
      <c r="F497" t="s">
        <v>229</v>
      </c>
      <c r="G497" t="s">
        <v>230</v>
      </c>
      <c r="H497">
        <v>43</v>
      </c>
      <c r="I497">
        <f>SUMIF($D$2:D497, D497, $H$2:H497)</f>
        <v>63</v>
      </c>
      <c r="J497" t="s">
        <v>61</v>
      </c>
      <c r="K497">
        <v>145</v>
      </c>
      <c r="L497">
        <f>ABS(Tabela4[[#This Row],[Quantidade]]*Tabela4[[#This Row],[Valor Unitario]])</f>
        <v>6235</v>
      </c>
      <c r="M497" t="s">
        <v>638</v>
      </c>
    </row>
    <row r="498" spans="1:13" hidden="1" x14ac:dyDescent="0.25">
      <c r="A498" s="17">
        <v>46182</v>
      </c>
      <c r="B498" t="s">
        <v>925</v>
      </c>
      <c r="C498">
        <v>101</v>
      </c>
      <c r="D498">
        <v>3004</v>
      </c>
      <c r="E498" t="s">
        <v>109</v>
      </c>
      <c r="F498" t="s">
        <v>229</v>
      </c>
      <c r="G498" t="s">
        <v>230</v>
      </c>
      <c r="H498">
        <v>39</v>
      </c>
      <c r="I498">
        <f>SUMIF($D$2:D498, D498, $H$2:H498)</f>
        <v>172</v>
      </c>
      <c r="J498" t="s">
        <v>61</v>
      </c>
      <c r="K498">
        <v>2180</v>
      </c>
      <c r="L498">
        <f>ABS(Tabela4[[#This Row],[Quantidade]]*Tabela4[[#This Row],[Valor Unitario]])</f>
        <v>85020</v>
      </c>
      <c r="M498" t="s">
        <v>926</v>
      </c>
    </row>
    <row r="499" spans="1:13" hidden="1" x14ac:dyDescent="0.25">
      <c r="A499" s="17">
        <v>46182</v>
      </c>
      <c r="B499" t="s">
        <v>1149</v>
      </c>
      <c r="C499">
        <v>101</v>
      </c>
      <c r="D499">
        <v>5005</v>
      </c>
      <c r="E499" t="s">
        <v>125</v>
      </c>
      <c r="F499" t="s">
        <v>229</v>
      </c>
      <c r="G499" t="s">
        <v>230</v>
      </c>
      <c r="H499">
        <v>12</v>
      </c>
      <c r="I499">
        <f>SUMIF($D$2:D499, D499, $H$2:H499)</f>
        <v>146</v>
      </c>
      <c r="J499" t="s">
        <v>61</v>
      </c>
      <c r="K499">
        <v>780</v>
      </c>
      <c r="L499">
        <f>ABS(Tabela4[[#This Row],[Quantidade]]*Tabela4[[#This Row],[Valor Unitario]])</f>
        <v>9360</v>
      </c>
      <c r="M499" t="s">
        <v>1150</v>
      </c>
    </row>
    <row r="500" spans="1:13" hidden="1" x14ac:dyDescent="0.25">
      <c r="A500" s="17">
        <v>46182</v>
      </c>
      <c r="B500" t="s">
        <v>1661</v>
      </c>
      <c r="C500">
        <v>101</v>
      </c>
      <c r="D500">
        <v>9005</v>
      </c>
      <c r="E500" t="s">
        <v>163</v>
      </c>
      <c r="F500" t="s">
        <v>229</v>
      </c>
      <c r="G500" t="s">
        <v>230</v>
      </c>
      <c r="H500">
        <v>38</v>
      </c>
      <c r="I500">
        <f>SUMIF($D$2:D500, D500, $H$2:H500)</f>
        <v>73</v>
      </c>
      <c r="J500" t="s">
        <v>61</v>
      </c>
      <c r="K500">
        <v>8.9</v>
      </c>
      <c r="L500">
        <f>ABS(Tabela4[[#This Row],[Quantidade]]*Tabela4[[#This Row],[Valor Unitario]])</f>
        <v>338.2</v>
      </c>
      <c r="M500" t="s">
        <v>1662</v>
      </c>
    </row>
    <row r="501" spans="1:13" hidden="1" x14ac:dyDescent="0.25">
      <c r="A501" s="17">
        <v>46183</v>
      </c>
      <c r="B501" t="s">
        <v>669</v>
      </c>
      <c r="C501">
        <v>101</v>
      </c>
      <c r="D501">
        <v>2357</v>
      </c>
      <c r="E501" t="s">
        <v>91</v>
      </c>
      <c r="F501" t="s">
        <v>229</v>
      </c>
      <c r="G501" t="s">
        <v>230</v>
      </c>
      <c r="H501">
        <v>70</v>
      </c>
      <c r="I501">
        <f>SUMIF($D$2:D501, D501, $H$2:H501)</f>
        <v>117</v>
      </c>
      <c r="J501" t="s">
        <v>61</v>
      </c>
      <c r="K501">
        <v>210</v>
      </c>
      <c r="L501">
        <f>ABS(Tabela4[[#This Row],[Quantidade]]*Tabela4[[#This Row],[Valor Unitario]])</f>
        <v>14700</v>
      </c>
      <c r="M501" t="s">
        <v>670</v>
      </c>
    </row>
    <row r="502" spans="1:13" x14ac:dyDescent="0.25">
      <c r="A502" s="17">
        <v>46183</v>
      </c>
      <c r="B502" t="s">
        <v>733</v>
      </c>
      <c r="C502">
        <v>101</v>
      </c>
      <c r="D502">
        <v>2359</v>
      </c>
      <c r="E502" t="s">
        <v>95</v>
      </c>
      <c r="F502" t="s">
        <v>229</v>
      </c>
      <c r="G502" t="s">
        <v>230</v>
      </c>
      <c r="H502">
        <v>90</v>
      </c>
      <c r="I502">
        <f>SUMIF($D$2:D502, D502, $H$2:H502)</f>
        <v>129</v>
      </c>
      <c r="J502" t="s">
        <v>61</v>
      </c>
      <c r="K502">
        <v>1240</v>
      </c>
      <c r="L502">
        <f>ABS(Tabela4[[#This Row],[Quantidade]]*Tabela4[[#This Row],[Valor Unitario]])</f>
        <v>111600</v>
      </c>
      <c r="M502" t="s">
        <v>734</v>
      </c>
    </row>
    <row r="503" spans="1:13" hidden="1" x14ac:dyDescent="0.25">
      <c r="A503" s="17">
        <v>46183</v>
      </c>
      <c r="B503" t="s">
        <v>1437</v>
      </c>
      <c r="C503">
        <v>101</v>
      </c>
      <c r="D503">
        <v>7003</v>
      </c>
      <c r="E503" t="s">
        <v>145</v>
      </c>
      <c r="F503" t="s">
        <v>229</v>
      </c>
      <c r="G503" t="s">
        <v>230</v>
      </c>
      <c r="H503">
        <v>13</v>
      </c>
      <c r="I503">
        <f>SUMIF($D$2:D503, D503, $H$2:H503)</f>
        <v>125</v>
      </c>
      <c r="J503" t="s">
        <v>61</v>
      </c>
      <c r="K503">
        <v>130</v>
      </c>
      <c r="L503">
        <f>ABS(Tabela4[[#This Row],[Quantidade]]*Tabela4[[#This Row],[Valor Unitario]])</f>
        <v>1690</v>
      </c>
      <c r="M503" t="s">
        <v>1438</v>
      </c>
    </row>
    <row r="504" spans="1:13" hidden="1" x14ac:dyDescent="0.25">
      <c r="A504" s="17">
        <v>46184</v>
      </c>
      <c r="B504" t="s">
        <v>477</v>
      </c>
      <c r="C504">
        <v>101</v>
      </c>
      <c r="D504">
        <v>2008</v>
      </c>
      <c r="E504" t="s">
        <v>78</v>
      </c>
      <c r="F504" t="s">
        <v>229</v>
      </c>
      <c r="G504" t="s">
        <v>230</v>
      </c>
      <c r="H504">
        <v>17</v>
      </c>
      <c r="I504">
        <f>SUMIF($D$2:D504, D504, $H$2:H504)</f>
        <v>77</v>
      </c>
      <c r="J504" t="s">
        <v>61</v>
      </c>
      <c r="K504">
        <v>24500</v>
      </c>
      <c r="L504">
        <f>ABS(Tabela4[[#This Row],[Quantidade]]*Tabela4[[#This Row],[Valor Unitario]])</f>
        <v>416500</v>
      </c>
      <c r="M504" t="s">
        <v>478</v>
      </c>
    </row>
    <row r="505" spans="1:13" hidden="1" x14ac:dyDescent="0.25">
      <c r="A505" s="17">
        <v>46184</v>
      </c>
      <c r="B505" t="s">
        <v>1309</v>
      </c>
      <c r="C505">
        <v>101</v>
      </c>
      <c r="D505">
        <v>6003</v>
      </c>
      <c r="E505" t="s">
        <v>136</v>
      </c>
      <c r="F505" t="s">
        <v>229</v>
      </c>
      <c r="G505" t="s">
        <v>230</v>
      </c>
      <c r="H505">
        <v>15</v>
      </c>
      <c r="I505">
        <f>SUMIF($D$2:D505, D505, $H$2:H505)</f>
        <v>67</v>
      </c>
      <c r="J505" t="s">
        <v>103</v>
      </c>
      <c r="K505">
        <v>85</v>
      </c>
      <c r="L505">
        <f>ABS(Tabela4[[#This Row],[Quantidade]]*Tabela4[[#This Row],[Valor Unitario]])</f>
        <v>1275</v>
      </c>
      <c r="M505" t="s">
        <v>1310</v>
      </c>
    </row>
    <row r="506" spans="1:13" hidden="1" x14ac:dyDescent="0.25">
      <c r="A506" s="17">
        <v>46185</v>
      </c>
      <c r="B506" t="s">
        <v>1181</v>
      </c>
      <c r="C506">
        <v>101</v>
      </c>
      <c r="D506">
        <v>5006</v>
      </c>
      <c r="E506" t="s">
        <v>127</v>
      </c>
      <c r="F506" t="s">
        <v>229</v>
      </c>
      <c r="G506" t="s">
        <v>230</v>
      </c>
      <c r="H506">
        <v>87</v>
      </c>
      <c r="I506">
        <f>SUMIF($D$2:D506, D506, $H$2:H506)</f>
        <v>141</v>
      </c>
      <c r="J506" t="s">
        <v>103</v>
      </c>
      <c r="K506">
        <v>22</v>
      </c>
      <c r="L506">
        <f>ABS(Tabela4[[#This Row],[Quantidade]]*Tabela4[[#This Row],[Valor Unitario]])</f>
        <v>1914</v>
      </c>
      <c r="M506" t="s">
        <v>1182</v>
      </c>
    </row>
    <row r="507" spans="1:13" hidden="1" x14ac:dyDescent="0.25">
      <c r="A507" s="17">
        <v>46186</v>
      </c>
      <c r="B507" t="s">
        <v>989</v>
      </c>
      <c r="C507">
        <v>101</v>
      </c>
      <c r="D507">
        <v>4002</v>
      </c>
      <c r="E507" t="s">
        <v>114</v>
      </c>
      <c r="F507" t="s">
        <v>229</v>
      </c>
      <c r="G507" t="s">
        <v>230</v>
      </c>
      <c r="H507">
        <v>92</v>
      </c>
      <c r="I507">
        <f>SUMIF($D$2:D507, D507, $H$2:H507)</f>
        <v>59</v>
      </c>
      <c r="J507" t="s">
        <v>61</v>
      </c>
      <c r="K507">
        <v>4100</v>
      </c>
      <c r="L507">
        <f>ABS(Tabela4[[#This Row],[Quantidade]]*Tabela4[[#This Row],[Valor Unitario]])</f>
        <v>377200</v>
      </c>
      <c r="M507" t="s">
        <v>990</v>
      </c>
    </row>
    <row r="508" spans="1:13" hidden="1" x14ac:dyDescent="0.25">
      <c r="A508" s="17">
        <v>46186</v>
      </c>
      <c r="B508" t="s">
        <v>1405</v>
      </c>
      <c r="C508">
        <v>101</v>
      </c>
      <c r="D508">
        <v>7002</v>
      </c>
      <c r="E508" t="s">
        <v>143</v>
      </c>
      <c r="F508" t="s">
        <v>229</v>
      </c>
      <c r="G508" t="s">
        <v>230</v>
      </c>
      <c r="H508">
        <v>88</v>
      </c>
      <c r="I508">
        <f>SUMIF($D$2:D508, D508, $H$2:H508)</f>
        <v>79</v>
      </c>
      <c r="J508" t="s">
        <v>61</v>
      </c>
      <c r="K508">
        <v>95</v>
      </c>
      <c r="L508">
        <f>ABS(Tabela4[[#This Row],[Quantidade]]*Tabela4[[#This Row],[Valor Unitario]])</f>
        <v>8360</v>
      </c>
      <c r="M508" t="s">
        <v>1406</v>
      </c>
    </row>
    <row r="509" spans="1:13" hidden="1" x14ac:dyDescent="0.25">
      <c r="A509" s="17">
        <v>46186</v>
      </c>
      <c r="B509" t="s">
        <v>1533</v>
      </c>
      <c r="C509">
        <v>101</v>
      </c>
      <c r="D509">
        <v>9001</v>
      </c>
      <c r="E509" t="s">
        <v>154</v>
      </c>
      <c r="F509" t="s">
        <v>229</v>
      </c>
      <c r="G509" t="s">
        <v>230</v>
      </c>
      <c r="H509">
        <v>30</v>
      </c>
      <c r="I509">
        <f>SUMIF($D$2:D509, D509, $H$2:H509)</f>
        <v>146</v>
      </c>
      <c r="J509" t="s">
        <v>61</v>
      </c>
      <c r="K509">
        <v>18</v>
      </c>
      <c r="L509">
        <f>ABS(Tabela4[[#This Row],[Quantidade]]*Tabela4[[#This Row],[Valor Unitario]])</f>
        <v>540</v>
      </c>
      <c r="M509" t="s">
        <v>1534</v>
      </c>
    </row>
    <row r="510" spans="1:13" hidden="1" x14ac:dyDescent="0.25">
      <c r="A510" s="17">
        <v>46187</v>
      </c>
      <c r="B510" t="s">
        <v>957</v>
      </c>
      <c r="C510">
        <v>101</v>
      </c>
      <c r="D510">
        <v>4001</v>
      </c>
      <c r="E510" t="s">
        <v>111</v>
      </c>
      <c r="F510" t="s">
        <v>229</v>
      </c>
      <c r="G510" t="s">
        <v>230</v>
      </c>
      <c r="H510">
        <v>15</v>
      </c>
      <c r="I510">
        <f>SUMIF($D$2:D510, D510, $H$2:H510)</f>
        <v>17</v>
      </c>
      <c r="J510" t="s">
        <v>61</v>
      </c>
      <c r="K510">
        <v>3200</v>
      </c>
      <c r="L510">
        <f>ABS(Tabela4[[#This Row],[Quantidade]]*Tabela4[[#This Row],[Valor Unitario]])</f>
        <v>48000</v>
      </c>
      <c r="M510" t="s">
        <v>958</v>
      </c>
    </row>
    <row r="511" spans="1:13" hidden="1" x14ac:dyDescent="0.25">
      <c r="A511" s="17">
        <v>46187</v>
      </c>
      <c r="B511" t="s">
        <v>1117</v>
      </c>
      <c r="C511">
        <v>101</v>
      </c>
      <c r="D511">
        <v>5004</v>
      </c>
      <c r="E511" t="s">
        <v>123</v>
      </c>
      <c r="F511" t="s">
        <v>229</v>
      </c>
      <c r="G511" t="s">
        <v>230</v>
      </c>
      <c r="H511">
        <v>43</v>
      </c>
      <c r="I511">
        <f>SUMIF($D$2:D511, D511, $H$2:H511)</f>
        <v>67</v>
      </c>
      <c r="J511" t="s">
        <v>61</v>
      </c>
      <c r="K511">
        <v>1350</v>
      </c>
      <c r="L511">
        <f>ABS(Tabela4[[#This Row],[Quantidade]]*Tabela4[[#This Row],[Valor Unitario]])</f>
        <v>58050</v>
      </c>
      <c r="M511" t="s">
        <v>1118</v>
      </c>
    </row>
    <row r="512" spans="1:13" hidden="1" x14ac:dyDescent="0.25">
      <c r="A512" s="17">
        <v>46188</v>
      </c>
      <c r="B512" t="s">
        <v>447</v>
      </c>
      <c r="C512">
        <v>261</v>
      </c>
      <c r="D512">
        <v>2007</v>
      </c>
      <c r="E512" t="s">
        <v>76</v>
      </c>
      <c r="F512" t="s">
        <v>229</v>
      </c>
      <c r="G512" t="s">
        <v>230</v>
      </c>
      <c r="H512">
        <v>-58</v>
      </c>
      <c r="I512">
        <f>SUMIF($D$2:D512, D512, $H$2:H512)</f>
        <v>31</v>
      </c>
      <c r="J512" t="s">
        <v>61</v>
      </c>
      <c r="K512">
        <v>1980</v>
      </c>
      <c r="L512">
        <f>ABS(Tabela4[[#This Row],[Quantidade]]*Tabela4[[#This Row],[Valor Unitario]])</f>
        <v>114840</v>
      </c>
      <c r="M512" t="s">
        <v>448</v>
      </c>
    </row>
    <row r="513" spans="1:13" hidden="1" x14ac:dyDescent="0.25">
      <c r="A513" s="17">
        <v>46188</v>
      </c>
      <c r="B513" t="s">
        <v>543</v>
      </c>
      <c r="C513">
        <v>261</v>
      </c>
      <c r="D513">
        <v>2010</v>
      </c>
      <c r="E513" t="s">
        <v>82</v>
      </c>
      <c r="F513" t="s">
        <v>229</v>
      </c>
      <c r="G513" t="s">
        <v>230</v>
      </c>
      <c r="H513">
        <v>-72</v>
      </c>
      <c r="I513">
        <f>SUMIF($D$2:D513, D513, $H$2:H513)</f>
        <v>6</v>
      </c>
      <c r="J513" t="s">
        <v>61</v>
      </c>
      <c r="K513">
        <v>2150</v>
      </c>
      <c r="L513">
        <f>ABS(Tabela4[[#This Row],[Quantidade]]*Tabela4[[#This Row],[Valor Unitario]])</f>
        <v>154800</v>
      </c>
      <c r="M513" t="s">
        <v>544</v>
      </c>
    </row>
    <row r="514" spans="1:13" hidden="1" x14ac:dyDescent="0.25">
      <c r="A514" s="17">
        <v>46188</v>
      </c>
      <c r="B514" t="s">
        <v>767</v>
      </c>
      <c r="C514">
        <v>261</v>
      </c>
      <c r="D514">
        <v>2360</v>
      </c>
      <c r="E514" t="s">
        <v>97</v>
      </c>
      <c r="F514" t="s">
        <v>229</v>
      </c>
      <c r="G514" t="s">
        <v>230</v>
      </c>
      <c r="H514">
        <v>-49</v>
      </c>
      <c r="I514">
        <f>SUMIF($D$2:D514, D514, $H$2:H514)</f>
        <v>-50</v>
      </c>
      <c r="J514" t="s">
        <v>61</v>
      </c>
      <c r="K514">
        <v>2380</v>
      </c>
      <c r="L514">
        <f>ABS(Tabela4[[#This Row],[Quantidade]]*Tabela4[[#This Row],[Valor Unitario]])</f>
        <v>116620</v>
      </c>
      <c r="M514" t="s">
        <v>768</v>
      </c>
    </row>
    <row r="515" spans="1:13" hidden="1" x14ac:dyDescent="0.25">
      <c r="A515" s="17">
        <v>46188</v>
      </c>
      <c r="B515" t="s">
        <v>927</v>
      </c>
      <c r="C515">
        <v>261</v>
      </c>
      <c r="D515">
        <v>3004</v>
      </c>
      <c r="E515" t="s">
        <v>109</v>
      </c>
      <c r="F515" t="s">
        <v>229</v>
      </c>
      <c r="G515" t="s">
        <v>230</v>
      </c>
      <c r="H515">
        <v>-3</v>
      </c>
      <c r="I515">
        <f>SUMIF($D$2:D515, D515, $H$2:H515)</f>
        <v>169</v>
      </c>
      <c r="J515" t="s">
        <v>61</v>
      </c>
      <c r="K515">
        <v>2180</v>
      </c>
      <c r="L515">
        <f>ABS(Tabela4[[#This Row],[Quantidade]]*Tabela4[[#This Row],[Valor Unitario]])</f>
        <v>6540</v>
      </c>
      <c r="M515" t="s">
        <v>928</v>
      </c>
    </row>
    <row r="516" spans="1:13" hidden="1" x14ac:dyDescent="0.25">
      <c r="A516" s="17">
        <v>46189</v>
      </c>
      <c r="B516" t="s">
        <v>1087</v>
      </c>
      <c r="C516">
        <v>261</v>
      </c>
      <c r="D516">
        <v>5003</v>
      </c>
      <c r="E516" t="s">
        <v>121</v>
      </c>
      <c r="F516" t="s">
        <v>229</v>
      </c>
      <c r="G516" t="s">
        <v>230</v>
      </c>
      <c r="H516">
        <v>-30</v>
      </c>
      <c r="I516">
        <f>SUMIF($D$2:D516, D516, $H$2:H516)</f>
        <v>131</v>
      </c>
      <c r="J516" t="s">
        <v>61</v>
      </c>
      <c r="K516">
        <v>8900</v>
      </c>
      <c r="L516">
        <f>ABS(Tabela4[[#This Row],[Quantidade]]*Tabela4[[#This Row],[Valor Unitario]])</f>
        <v>267000</v>
      </c>
      <c r="M516" t="s">
        <v>1088</v>
      </c>
    </row>
    <row r="517" spans="1:13" hidden="1" x14ac:dyDescent="0.25">
      <c r="A517" s="17">
        <v>46189</v>
      </c>
      <c r="B517" t="s">
        <v>1663</v>
      </c>
      <c r="C517">
        <v>261</v>
      </c>
      <c r="D517">
        <v>9005</v>
      </c>
      <c r="E517" t="s">
        <v>163</v>
      </c>
      <c r="F517" t="s">
        <v>229</v>
      </c>
      <c r="G517" t="s">
        <v>230</v>
      </c>
      <c r="H517">
        <v>-17</v>
      </c>
      <c r="I517">
        <f>SUMIF($D$2:D517, D517, $H$2:H517)</f>
        <v>56</v>
      </c>
      <c r="J517" t="s">
        <v>61</v>
      </c>
      <c r="K517">
        <v>8.9</v>
      </c>
      <c r="L517">
        <f>ABS(Tabela4[[#This Row],[Quantidade]]*Tabela4[[#This Row],[Valor Unitario]])</f>
        <v>151.30000000000001</v>
      </c>
      <c r="M517" t="s">
        <v>1664</v>
      </c>
    </row>
    <row r="518" spans="1:13" hidden="1" x14ac:dyDescent="0.25">
      <c r="A518" s="17">
        <v>46190</v>
      </c>
      <c r="B518" t="s">
        <v>1375</v>
      </c>
      <c r="C518">
        <v>261</v>
      </c>
      <c r="D518">
        <v>7001</v>
      </c>
      <c r="E518" t="s">
        <v>140</v>
      </c>
      <c r="F518" t="s">
        <v>229</v>
      </c>
      <c r="G518" t="s">
        <v>230</v>
      </c>
      <c r="H518">
        <v>-72</v>
      </c>
      <c r="I518">
        <f>SUMIF($D$2:D518, D518, $H$2:H518)</f>
        <v>-32</v>
      </c>
      <c r="J518" t="s">
        <v>61</v>
      </c>
      <c r="K518">
        <v>210</v>
      </c>
      <c r="L518">
        <f>ABS(Tabela4[[#This Row],[Quantidade]]*Tabela4[[#This Row],[Valor Unitario]])</f>
        <v>15120</v>
      </c>
      <c r="M518" t="s">
        <v>1376</v>
      </c>
    </row>
    <row r="519" spans="1:13" hidden="1" x14ac:dyDescent="0.25">
      <c r="A519" s="17">
        <v>46191</v>
      </c>
      <c r="B519" t="s">
        <v>831</v>
      </c>
      <c r="C519">
        <v>261</v>
      </c>
      <c r="D519">
        <v>3001</v>
      </c>
      <c r="E519" t="s">
        <v>101</v>
      </c>
      <c r="F519" t="s">
        <v>229</v>
      </c>
      <c r="G519" t="s">
        <v>230</v>
      </c>
      <c r="H519">
        <v>-89</v>
      </c>
      <c r="I519">
        <f>SUMIF($D$2:D519, D519, $H$2:H519)</f>
        <v>244</v>
      </c>
      <c r="J519" t="s">
        <v>103</v>
      </c>
      <c r="K519">
        <v>320</v>
      </c>
      <c r="L519">
        <f>ABS(Tabela4[[#This Row],[Quantidade]]*Tabela4[[#This Row],[Valor Unitario]])</f>
        <v>28480</v>
      </c>
      <c r="M519" t="s">
        <v>832</v>
      </c>
    </row>
    <row r="520" spans="1:13" hidden="1" x14ac:dyDescent="0.25">
      <c r="A520" s="17">
        <v>46191</v>
      </c>
      <c r="B520" t="s">
        <v>1407</v>
      </c>
      <c r="C520">
        <v>261</v>
      </c>
      <c r="D520">
        <v>7002</v>
      </c>
      <c r="E520" t="s">
        <v>143</v>
      </c>
      <c r="F520" t="s">
        <v>229</v>
      </c>
      <c r="G520" t="s">
        <v>230</v>
      </c>
      <c r="H520">
        <v>-56</v>
      </c>
      <c r="I520">
        <f>SUMIF($D$2:D520, D520, $H$2:H520)</f>
        <v>23</v>
      </c>
      <c r="J520" t="s">
        <v>61</v>
      </c>
      <c r="K520">
        <v>95</v>
      </c>
      <c r="L520">
        <f>ABS(Tabela4[[#This Row],[Quantidade]]*Tabela4[[#This Row],[Valor Unitario]])</f>
        <v>5320</v>
      </c>
      <c r="M520" t="s">
        <v>1408</v>
      </c>
    </row>
    <row r="521" spans="1:13" hidden="1" x14ac:dyDescent="0.25">
      <c r="A521" s="17">
        <v>46192</v>
      </c>
      <c r="B521" t="s">
        <v>799</v>
      </c>
      <c r="C521">
        <v>261</v>
      </c>
      <c r="D521">
        <v>2361</v>
      </c>
      <c r="E521" t="s">
        <v>99</v>
      </c>
      <c r="F521" t="s">
        <v>229</v>
      </c>
      <c r="G521" t="s">
        <v>230</v>
      </c>
      <c r="H521">
        <v>-75</v>
      </c>
      <c r="I521">
        <f>SUMIF($D$2:D521, D521, $H$2:H521)</f>
        <v>-2</v>
      </c>
      <c r="J521" t="s">
        <v>61</v>
      </c>
      <c r="K521">
        <v>68</v>
      </c>
      <c r="L521">
        <f>ABS(Tabela4[[#This Row],[Quantidade]]*Tabela4[[#This Row],[Valor Unitario]])</f>
        <v>5100</v>
      </c>
      <c r="M521" t="s">
        <v>800</v>
      </c>
    </row>
    <row r="522" spans="1:13" hidden="1" x14ac:dyDescent="0.25">
      <c r="A522" s="17">
        <v>46193</v>
      </c>
      <c r="B522" t="s">
        <v>639</v>
      </c>
      <c r="C522">
        <v>261</v>
      </c>
      <c r="D522">
        <v>2356</v>
      </c>
      <c r="E522" t="s">
        <v>88</v>
      </c>
      <c r="F522" t="s">
        <v>229</v>
      </c>
      <c r="G522" t="s">
        <v>230</v>
      </c>
      <c r="H522">
        <v>-48</v>
      </c>
      <c r="I522">
        <f>SUMIF($D$2:D522, D522, $H$2:H522)</f>
        <v>15</v>
      </c>
      <c r="J522" t="s">
        <v>61</v>
      </c>
      <c r="K522">
        <v>145</v>
      </c>
      <c r="L522">
        <f>ABS(Tabela4[[#This Row],[Quantidade]]*Tabela4[[#This Row],[Valor Unitario]])</f>
        <v>6960</v>
      </c>
      <c r="M522" t="s">
        <v>640</v>
      </c>
    </row>
    <row r="523" spans="1:13" hidden="1" x14ac:dyDescent="0.25">
      <c r="A523" s="17">
        <v>46194</v>
      </c>
      <c r="B523" t="s">
        <v>1599</v>
      </c>
      <c r="C523">
        <v>261</v>
      </c>
      <c r="D523">
        <v>9003</v>
      </c>
      <c r="E523" t="s">
        <v>159</v>
      </c>
      <c r="F523" t="s">
        <v>229</v>
      </c>
      <c r="G523" t="s">
        <v>230</v>
      </c>
      <c r="H523">
        <v>-85</v>
      </c>
      <c r="I523">
        <f>SUMIF($D$2:D523, D523, $H$2:H523)</f>
        <v>-42</v>
      </c>
      <c r="J523" t="s">
        <v>61</v>
      </c>
      <c r="K523">
        <v>2.2000000000000002</v>
      </c>
      <c r="L523">
        <f>ABS(Tabela4[[#This Row],[Quantidade]]*Tabela4[[#This Row],[Valor Unitario]])</f>
        <v>187.00000000000003</v>
      </c>
      <c r="M523" t="s">
        <v>1600</v>
      </c>
    </row>
    <row r="524" spans="1:13" hidden="1" x14ac:dyDescent="0.25">
      <c r="A524" s="17">
        <v>46195</v>
      </c>
      <c r="B524" t="s">
        <v>607</v>
      </c>
      <c r="C524">
        <v>261</v>
      </c>
      <c r="D524">
        <v>2012</v>
      </c>
      <c r="E524" t="s">
        <v>86</v>
      </c>
      <c r="F524" t="s">
        <v>229</v>
      </c>
      <c r="G524" t="s">
        <v>230</v>
      </c>
      <c r="H524">
        <v>-93</v>
      </c>
      <c r="I524">
        <f>SUMIF($D$2:D524, D524, $H$2:H524)</f>
        <v>57</v>
      </c>
      <c r="J524" t="s">
        <v>61</v>
      </c>
      <c r="K524">
        <v>5400</v>
      </c>
      <c r="L524">
        <f>ABS(Tabela4[[#This Row],[Quantidade]]*Tabela4[[#This Row],[Valor Unitario]])</f>
        <v>502200</v>
      </c>
      <c r="M524" t="s">
        <v>608</v>
      </c>
    </row>
    <row r="525" spans="1:13" hidden="1" x14ac:dyDescent="0.25">
      <c r="A525" s="17">
        <v>46195</v>
      </c>
      <c r="B525" t="s">
        <v>1247</v>
      </c>
      <c r="C525">
        <v>261</v>
      </c>
      <c r="D525">
        <v>6001</v>
      </c>
      <c r="E525" t="s">
        <v>131</v>
      </c>
      <c r="F525" t="s">
        <v>229</v>
      </c>
      <c r="G525" t="s">
        <v>230</v>
      </c>
      <c r="H525">
        <v>-36</v>
      </c>
      <c r="I525">
        <f>SUMIF($D$2:D525, D525, $H$2:H525)</f>
        <v>-3</v>
      </c>
      <c r="J525" t="s">
        <v>61</v>
      </c>
      <c r="K525">
        <v>15800</v>
      </c>
      <c r="L525">
        <f>ABS(Tabela4[[#This Row],[Quantidade]]*Tabela4[[#This Row],[Valor Unitario]])</f>
        <v>568800</v>
      </c>
      <c r="M525" t="s">
        <v>1248</v>
      </c>
    </row>
    <row r="526" spans="1:13" hidden="1" x14ac:dyDescent="0.25">
      <c r="A526" s="17">
        <v>46195</v>
      </c>
      <c r="B526" t="s">
        <v>1311</v>
      </c>
      <c r="C526">
        <v>261</v>
      </c>
      <c r="D526">
        <v>6003</v>
      </c>
      <c r="E526" t="s">
        <v>136</v>
      </c>
      <c r="F526" t="s">
        <v>229</v>
      </c>
      <c r="G526" t="s">
        <v>230</v>
      </c>
      <c r="H526">
        <v>-38</v>
      </c>
      <c r="I526">
        <f>SUMIF($D$2:D526, D526, $H$2:H526)</f>
        <v>29</v>
      </c>
      <c r="J526" t="s">
        <v>103</v>
      </c>
      <c r="K526">
        <v>85</v>
      </c>
      <c r="L526">
        <f>ABS(Tabela4[[#This Row],[Quantidade]]*Tabela4[[#This Row],[Valor Unitario]])</f>
        <v>3230</v>
      </c>
      <c r="M526" t="s">
        <v>1312</v>
      </c>
    </row>
    <row r="527" spans="1:13" hidden="1" x14ac:dyDescent="0.25">
      <c r="A527" s="17">
        <v>46195</v>
      </c>
      <c r="B527" t="s">
        <v>1439</v>
      </c>
      <c r="C527">
        <v>261</v>
      </c>
      <c r="D527">
        <v>7003</v>
      </c>
      <c r="E527" t="s">
        <v>145</v>
      </c>
      <c r="F527" t="s">
        <v>229</v>
      </c>
      <c r="G527" t="s">
        <v>230</v>
      </c>
      <c r="H527">
        <v>-62</v>
      </c>
      <c r="I527">
        <f>SUMIF($D$2:D527, D527, $H$2:H527)</f>
        <v>63</v>
      </c>
      <c r="J527" t="s">
        <v>61</v>
      </c>
      <c r="K527">
        <v>130</v>
      </c>
      <c r="L527">
        <f>ABS(Tabela4[[#This Row],[Quantidade]]*Tabela4[[#This Row],[Valor Unitario]])</f>
        <v>8060</v>
      </c>
      <c r="M527" t="s">
        <v>1440</v>
      </c>
    </row>
    <row r="528" spans="1:13" hidden="1" x14ac:dyDescent="0.25">
      <c r="A528" s="17">
        <v>46196</v>
      </c>
      <c r="B528" t="s">
        <v>1023</v>
      </c>
      <c r="C528">
        <v>261</v>
      </c>
      <c r="D528">
        <v>5001</v>
      </c>
      <c r="E528" t="s">
        <v>116</v>
      </c>
      <c r="F528" t="s">
        <v>229</v>
      </c>
      <c r="G528" t="s">
        <v>230</v>
      </c>
      <c r="H528">
        <v>-99</v>
      </c>
      <c r="I528">
        <f>SUMIF($D$2:D528, D528, $H$2:H528)</f>
        <v>96</v>
      </c>
      <c r="J528" t="s">
        <v>61</v>
      </c>
      <c r="K528">
        <v>32500</v>
      </c>
      <c r="L528">
        <f>ABS(Tabela4[[#This Row],[Quantidade]]*Tabela4[[#This Row],[Valor Unitario]])</f>
        <v>3217500</v>
      </c>
      <c r="M528" t="s">
        <v>1024</v>
      </c>
    </row>
    <row r="529" spans="1:13" hidden="1" x14ac:dyDescent="0.25">
      <c r="A529" s="17">
        <v>46196</v>
      </c>
      <c r="B529" t="s">
        <v>1471</v>
      </c>
      <c r="C529">
        <v>261</v>
      </c>
      <c r="D529">
        <v>8001</v>
      </c>
      <c r="E529" t="s">
        <v>147</v>
      </c>
      <c r="F529" t="s">
        <v>229</v>
      </c>
      <c r="G529" t="s">
        <v>230</v>
      </c>
      <c r="H529">
        <v>-1</v>
      </c>
      <c r="I529">
        <f>SUMIF($D$2:D529, D529, $H$2:H529)</f>
        <v>21</v>
      </c>
      <c r="J529" t="s">
        <v>149</v>
      </c>
      <c r="K529">
        <v>28</v>
      </c>
      <c r="L529">
        <f>ABS(Tabela4[[#This Row],[Quantidade]]*Tabela4[[#This Row],[Valor Unitario]])</f>
        <v>28</v>
      </c>
      <c r="M529" t="s">
        <v>1472</v>
      </c>
    </row>
    <row r="530" spans="1:13" hidden="1" x14ac:dyDescent="0.25">
      <c r="A530" s="17">
        <v>46196</v>
      </c>
      <c r="B530" t="s">
        <v>1503</v>
      </c>
      <c r="C530">
        <v>261</v>
      </c>
      <c r="D530">
        <v>8002</v>
      </c>
      <c r="E530" t="s">
        <v>151</v>
      </c>
      <c r="F530" t="s">
        <v>229</v>
      </c>
      <c r="G530" t="s">
        <v>230</v>
      </c>
      <c r="H530">
        <v>-71</v>
      </c>
      <c r="I530">
        <f>SUMIF($D$2:D530, D530, $H$2:H530)</f>
        <v>-61</v>
      </c>
      <c r="J530" t="s">
        <v>152</v>
      </c>
      <c r="K530">
        <v>32</v>
      </c>
      <c r="L530">
        <f>ABS(Tabela4[[#This Row],[Quantidade]]*Tabela4[[#This Row],[Valor Unitario]])</f>
        <v>2272</v>
      </c>
      <c r="M530" t="s">
        <v>1504</v>
      </c>
    </row>
    <row r="531" spans="1:13" hidden="1" x14ac:dyDescent="0.25">
      <c r="A531" s="17">
        <v>46196</v>
      </c>
      <c r="B531" t="s">
        <v>1567</v>
      </c>
      <c r="C531">
        <v>261</v>
      </c>
      <c r="D531">
        <v>9002</v>
      </c>
      <c r="E531" t="s">
        <v>157</v>
      </c>
      <c r="F531" t="s">
        <v>229</v>
      </c>
      <c r="G531" t="s">
        <v>230</v>
      </c>
      <c r="H531">
        <v>-67</v>
      </c>
      <c r="I531">
        <f>SUMIF($D$2:D531, D531, $H$2:H531)</f>
        <v>116</v>
      </c>
      <c r="J531" t="s">
        <v>61</v>
      </c>
      <c r="K531">
        <v>6.5</v>
      </c>
      <c r="L531">
        <f>ABS(Tabela4[[#This Row],[Quantidade]]*Tabela4[[#This Row],[Valor Unitario]])</f>
        <v>435.5</v>
      </c>
      <c r="M531" t="s">
        <v>1568</v>
      </c>
    </row>
    <row r="532" spans="1:13" hidden="1" x14ac:dyDescent="0.25">
      <c r="A532" s="17">
        <v>46197</v>
      </c>
      <c r="B532" t="s">
        <v>703</v>
      </c>
      <c r="C532">
        <v>261</v>
      </c>
      <c r="D532">
        <v>2358</v>
      </c>
      <c r="E532" t="s">
        <v>93</v>
      </c>
      <c r="F532" t="s">
        <v>229</v>
      </c>
      <c r="G532" t="s">
        <v>230</v>
      </c>
      <c r="H532">
        <v>-1</v>
      </c>
      <c r="I532">
        <f>SUMIF($D$2:D532, D532, $H$2:H532)</f>
        <v>103</v>
      </c>
      <c r="J532" t="s">
        <v>61</v>
      </c>
      <c r="K532">
        <v>890</v>
      </c>
      <c r="L532">
        <f>ABS(Tabela4[[#This Row],[Quantidade]]*Tabela4[[#This Row],[Valor Unitario]])</f>
        <v>890</v>
      </c>
      <c r="M532" t="s">
        <v>704</v>
      </c>
    </row>
    <row r="533" spans="1:13" hidden="1" x14ac:dyDescent="0.25">
      <c r="A533" s="17">
        <v>46197</v>
      </c>
      <c r="B533" t="s">
        <v>863</v>
      </c>
      <c r="C533">
        <v>261</v>
      </c>
      <c r="D533">
        <v>3002</v>
      </c>
      <c r="E533" t="s">
        <v>105</v>
      </c>
      <c r="F533" t="s">
        <v>229</v>
      </c>
      <c r="G533" t="s">
        <v>230</v>
      </c>
      <c r="H533">
        <v>-58</v>
      </c>
      <c r="I533">
        <f>SUMIF($D$2:D533, D533, $H$2:H533)</f>
        <v>-49</v>
      </c>
      <c r="J533" t="s">
        <v>61</v>
      </c>
      <c r="K533">
        <v>95</v>
      </c>
      <c r="L533">
        <f>ABS(Tabela4[[#This Row],[Quantidade]]*Tabela4[[#This Row],[Valor Unitario]])</f>
        <v>5510</v>
      </c>
      <c r="M533" t="s">
        <v>864</v>
      </c>
    </row>
    <row r="534" spans="1:13" hidden="1" x14ac:dyDescent="0.25">
      <c r="A534" s="17">
        <v>46197</v>
      </c>
      <c r="B534" t="s">
        <v>1151</v>
      </c>
      <c r="C534">
        <v>261</v>
      </c>
      <c r="D534">
        <v>5005</v>
      </c>
      <c r="E534" t="s">
        <v>125</v>
      </c>
      <c r="F534" t="s">
        <v>229</v>
      </c>
      <c r="G534" t="s">
        <v>230</v>
      </c>
      <c r="H534">
        <v>-46</v>
      </c>
      <c r="I534">
        <f>SUMIF($D$2:D534, D534, $H$2:H534)</f>
        <v>100</v>
      </c>
      <c r="J534" t="s">
        <v>61</v>
      </c>
      <c r="K534">
        <v>780</v>
      </c>
      <c r="L534">
        <f>ABS(Tabela4[[#This Row],[Quantidade]]*Tabela4[[#This Row],[Valor Unitario]])</f>
        <v>35880</v>
      </c>
      <c r="M534" t="s">
        <v>1152</v>
      </c>
    </row>
    <row r="535" spans="1:13" hidden="1" x14ac:dyDescent="0.25">
      <c r="A535" s="17">
        <v>46197</v>
      </c>
      <c r="B535" t="s">
        <v>1343</v>
      </c>
      <c r="C535">
        <v>261</v>
      </c>
      <c r="D535">
        <v>6004</v>
      </c>
      <c r="E535" t="s">
        <v>138</v>
      </c>
      <c r="F535" t="s">
        <v>229</v>
      </c>
      <c r="G535" t="s">
        <v>230</v>
      </c>
      <c r="H535">
        <v>-62</v>
      </c>
      <c r="I535">
        <f>SUMIF($D$2:D535, D535, $H$2:H535)</f>
        <v>272</v>
      </c>
      <c r="J535" t="s">
        <v>61</v>
      </c>
      <c r="K535">
        <v>2650</v>
      </c>
      <c r="L535">
        <f>ABS(Tabela4[[#This Row],[Quantidade]]*Tabela4[[#This Row],[Valor Unitario]])</f>
        <v>164300</v>
      </c>
      <c r="M535" t="s">
        <v>1344</v>
      </c>
    </row>
    <row r="536" spans="1:13" hidden="1" x14ac:dyDescent="0.25">
      <c r="A536" s="17">
        <v>46198</v>
      </c>
      <c r="B536" t="s">
        <v>380</v>
      </c>
      <c r="C536">
        <v>261</v>
      </c>
      <c r="D536">
        <v>2004</v>
      </c>
      <c r="E536" t="s">
        <v>69</v>
      </c>
      <c r="F536" t="s">
        <v>229</v>
      </c>
      <c r="G536" t="s">
        <v>230</v>
      </c>
      <c r="H536">
        <v>-5</v>
      </c>
      <c r="I536">
        <f>SUMIF($D$2:D536, D536, $H$2:H536)</f>
        <v>86</v>
      </c>
      <c r="J536" t="s">
        <v>61</v>
      </c>
      <c r="K536">
        <v>11800</v>
      </c>
      <c r="L536">
        <f>ABS(Tabela4[[#This Row],[Quantidade]]*Tabela4[[#This Row],[Valor Unitario]])</f>
        <v>59000</v>
      </c>
      <c r="M536" t="s">
        <v>290</v>
      </c>
    </row>
    <row r="537" spans="1:13" hidden="1" x14ac:dyDescent="0.25">
      <c r="A537" s="17">
        <v>46198</v>
      </c>
      <c r="B537" t="s">
        <v>511</v>
      </c>
      <c r="C537">
        <v>261</v>
      </c>
      <c r="D537">
        <v>2009</v>
      </c>
      <c r="E537" t="s">
        <v>80</v>
      </c>
      <c r="F537" t="s">
        <v>229</v>
      </c>
      <c r="G537" t="s">
        <v>230</v>
      </c>
      <c r="H537">
        <v>-13</v>
      </c>
      <c r="I537">
        <f>SUMIF($D$2:D537, D537, $H$2:H537)</f>
        <v>54</v>
      </c>
      <c r="J537" t="s">
        <v>61</v>
      </c>
      <c r="K537">
        <v>1650</v>
      </c>
      <c r="L537">
        <f>ABS(Tabela4[[#This Row],[Quantidade]]*Tabela4[[#This Row],[Valor Unitario]])</f>
        <v>21450</v>
      </c>
      <c r="M537" t="s">
        <v>512</v>
      </c>
    </row>
    <row r="538" spans="1:13" hidden="1" x14ac:dyDescent="0.25">
      <c r="A538" s="17">
        <v>46201</v>
      </c>
      <c r="B538" t="s">
        <v>415</v>
      </c>
      <c r="C538">
        <v>261</v>
      </c>
      <c r="D538">
        <v>2006</v>
      </c>
      <c r="E538" t="s">
        <v>74</v>
      </c>
      <c r="F538" t="s">
        <v>229</v>
      </c>
      <c r="G538" t="s">
        <v>230</v>
      </c>
      <c r="H538">
        <v>-75</v>
      </c>
      <c r="I538">
        <f>SUMIF($D$2:D538, D538, $H$2:H538)</f>
        <v>36</v>
      </c>
      <c r="J538" t="s">
        <v>61</v>
      </c>
      <c r="K538">
        <v>2870</v>
      </c>
      <c r="L538">
        <f>ABS(Tabela4[[#This Row],[Quantidade]]*Tabela4[[#This Row],[Valor Unitario]])</f>
        <v>215250</v>
      </c>
      <c r="M538" t="s">
        <v>416</v>
      </c>
    </row>
    <row r="539" spans="1:13" hidden="1" x14ac:dyDescent="0.25">
      <c r="A539" s="17">
        <v>46201</v>
      </c>
      <c r="B539" t="s">
        <v>1183</v>
      </c>
      <c r="C539">
        <v>261</v>
      </c>
      <c r="D539">
        <v>5006</v>
      </c>
      <c r="E539" t="s">
        <v>127</v>
      </c>
      <c r="F539" t="s">
        <v>229</v>
      </c>
      <c r="G539" t="s">
        <v>230</v>
      </c>
      <c r="H539">
        <v>-88</v>
      </c>
      <c r="I539">
        <f>SUMIF($D$2:D539, D539, $H$2:H539)</f>
        <v>53</v>
      </c>
      <c r="J539" t="s">
        <v>103</v>
      </c>
      <c r="K539">
        <v>22</v>
      </c>
      <c r="L539">
        <f>ABS(Tabela4[[#This Row],[Quantidade]]*Tabela4[[#This Row],[Valor Unitario]])</f>
        <v>1936</v>
      </c>
      <c r="M539" t="s">
        <v>1184</v>
      </c>
    </row>
    <row r="540" spans="1:13" hidden="1" x14ac:dyDescent="0.25">
      <c r="A540" s="17">
        <v>46201</v>
      </c>
      <c r="B540" t="s">
        <v>1631</v>
      </c>
      <c r="C540">
        <v>261</v>
      </c>
      <c r="D540">
        <v>9004</v>
      </c>
      <c r="E540" t="s">
        <v>161</v>
      </c>
      <c r="F540" t="s">
        <v>229</v>
      </c>
      <c r="G540" t="s">
        <v>230</v>
      </c>
      <c r="H540">
        <v>-59</v>
      </c>
      <c r="I540">
        <f>SUMIF($D$2:D540, D540, $H$2:H540)</f>
        <v>106</v>
      </c>
      <c r="J540" t="s">
        <v>61</v>
      </c>
      <c r="K540">
        <v>45</v>
      </c>
      <c r="L540">
        <f>ABS(Tabela4[[#This Row],[Quantidade]]*Tabela4[[#This Row],[Valor Unitario]])</f>
        <v>2655</v>
      </c>
      <c r="M540" t="s">
        <v>1632</v>
      </c>
    </row>
    <row r="541" spans="1:13" hidden="1" x14ac:dyDescent="0.25">
      <c r="A541" s="17">
        <v>46202</v>
      </c>
      <c r="B541" t="s">
        <v>396</v>
      </c>
      <c r="C541">
        <v>261</v>
      </c>
      <c r="D541">
        <v>2005</v>
      </c>
      <c r="E541" t="s">
        <v>71</v>
      </c>
      <c r="F541" t="s">
        <v>229</v>
      </c>
      <c r="G541" t="s">
        <v>230</v>
      </c>
      <c r="H541">
        <v>-90</v>
      </c>
      <c r="I541">
        <f>SUMIF($D$2:D541, D541, $H$2:H541)</f>
        <v>1</v>
      </c>
      <c r="J541" t="s">
        <v>61</v>
      </c>
      <c r="K541">
        <v>3450</v>
      </c>
      <c r="L541">
        <f>ABS(Tabela4[[#This Row],[Quantidade]]*Tabela4[[#This Row],[Valor Unitario]])</f>
        <v>310500</v>
      </c>
      <c r="M541" t="s">
        <v>306</v>
      </c>
    </row>
    <row r="542" spans="1:13" hidden="1" x14ac:dyDescent="0.25">
      <c r="A542" s="17">
        <v>46202</v>
      </c>
      <c r="B542" t="s">
        <v>479</v>
      </c>
      <c r="C542">
        <v>261</v>
      </c>
      <c r="D542">
        <v>2008</v>
      </c>
      <c r="E542" t="s">
        <v>78</v>
      </c>
      <c r="F542" t="s">
        <v>229</v>
      </c>
      <c r="G542" t="s">
        <v>230</v>
      </c>
      <c r="H542">
        <v>-3</v>
      </c>
      <c r="I542">
        <f>SUMIF($D$2:D542, D542, $H$2:H542)</f>
        <v>74</v>
      </c>
      <c r="J542" t="s">
        <v>61</v>
      </c>
      <c r="K542">
        <v>24500</v>
      </c>
      <c r="L542">
        <f>ABS(Tabela4[[#This Row],[Quantidade]]*Tabela4[[#This Row],[Valor Unitario]])</f>
        <v>73500</v>
      </c>
      <c r="M542" t="s">
        <v>480</v>
      </c>
    </row>
    <row r="543" spans="1:13" hidden="1" x14ac:dyDescent="0.25">
      <c r="A543" s="17">
        <v>46202</v>
      </c>
      <c r="B543" t="s">
        <v>671</v>
      </c>
      <c r="C543">
        <v>261</v>
      </c>
      <c r="D543">
        <v>2357</v>
      </c>
      <c r="E543" t="s">
        <v>91</v>
      </c>
      <c r="F543" t="s">
        <v>229</v>
      </c>
      <c r="G543" t="s">
        <v>230</v>
      </c>
      <c r="H543">
        <v>-54</v>
      </c>
      <c r="I543">
        <f>SUMIF($D$2:D543, D543, $H$2:H543)</f>
        <v>63</v>
      </c>
      <c r="J543" t="s">
        <v>61</v>
      </c>
      <c r="K543">
        <v>210</v>
      </c>
      <c r="L543">
        <f>ABS(Tabela4[[#This Row],[Quantidade]]*Tabela4[[#This Row],[Valor Unitario]])</f>
        <v>11340</v>
      </c>
      <c r="M543" t="s">
        <v>672</v>
      </c>
    </row>
    <row r="544" spans="1:13" hidden="1" x14ac:dyDescent="0.25">
      <c r="A544" s="17">
        <v>46202</v>
      </c>
      <c r="B544" t="s">
        <v>895</v>
      </c>
      <c r="C544">
        <v>261</v>
      </c>
      <c r="D544">
        <v>3003</v>
      </c>
      <c r="E544" t="s">
        <v>107</v>
      </c>
      <c r="F544" t="s">
        <v>229</v>
      </c>
      <c r="G544" t="s">
        <v>230</v>
      </c>
      <c r="H544">
        <v>-71</v>
      </c>
      <c r="I544">
        <f>SUMIF($D$2:D544, D544, $H$2:H544)</f>
        <v>22</v>
      </c>
      <c r="J544" t="s">
        <v>61</v>
      </c>
      <c r="K544">
        <v>2450</v>
      </c>
      <c r="L544">
        <f>ABS(Tabela4[[#This Row],[Quantidade]]*Tabela4[[#This Row],[Valor Unitario]])</f>
        <v>173950</v>
      </c>
      <c r="M544" t="s">
        <v>896</v>
      </c>
    </row>
    <row r="545" spans="1:13" hidden="1" x14ac:dyDescent="0.25">
      <c r="A545" s="17">
        <v>46202</v>
      </c>
      <c r="B545" t="s">
        <v>959</v>
      </c>
      <c r="C545">
        <v>261</v>
      </c>
      <c r="D545">
        <v>4001</v>
      </c>
      <c r="E545" t="s">
        <v>111</v>
      </c>
      <c r="F545" t="s">
        <v>229</v>
      </c>
      <c r="G545" t="s">
        <v>230</v>
      </c>
      <c r="H545">
        <v>-1</v>
      </c>
      <c r="I545">
        <f>SUMIF($D$2:D545, D545, $H$2:H545)</f>
        <v>16</v>
      </c>
      <c r="J545" t="s">
        <v>61</v>
      </c>
      <c r="K545">
        <v>3200</v>
      </c>
      <c r="L545">
        <f>ABS(Tabela4[[#This Row],[Quantidade]]*Tabela4[[#This Row],[Valor Unitario]])</f>
        <v>3200</v>
      </c>
      <c r="M545" t="s">
        <v>960</v>
      </c>
    </row>
    <row r="546" spans="1:13" hidden="1" x14ac:dyDescent="0.25">
      <c r="A546" s="17">
        <v>46202</v>
      </c>
      <c r="B546" t="s">
        <v>1055</v>
      </c>
      <c r="C546">
        <v>261</v>
      </c>
      <c r="D546">
        <v>5002</v>
      </c>
      <c r="E546" t="s">
        <v>119</v>
      </c>
      <c r="F546" t="s">
        <v>229</v>
      </c>
      <c r="G546" t="s">
        <v>230</v>
      </c>
      <c r="H546">
        <v>-19</v>
      </c>
      <c r="I546">
        <f>SUMIF($D$2:D546, D546, $H$2:H546)</f>
        <v>59</v>
      </c>
      <c r="J546" t="s">
        <v>61</v>
      </c>
      <c r="K546">
        <v>17800</v>
      </c>
      <c r="L546">
        <f>ABS(Tabela4[[#This Row],[Quantidade]]*Tabela4[[#This Row],[Valor Unitario]])</f>
        <v>338200</v>
      </c>
      <c r="M546" t="s">
        <v>1056</v>
      </c>
    </row>
    <row r="547" spans="1:13" hidden="1" x14ac:dyDescent="0.25">
      <c r="A547" s="17">
        <v>46202</v>
      </c>
      <c r="B547" t="s">
        <v>1215</v>
      </c>
      <c r="C547">
        <v>261</v>
      </c>
      <c r="D547">
        <v>5007</v>
      </c>
      <c r="E547" t="s">
        <v>129</v>
      </c>
      <c r="F547" t="s">
        <v>229</v>
      </c>
      <c r="G547" t="s">
        <v>230</v>
      </c>
      <c r="H547">
        <v>-49</v>
      </c>
      <c r="I547">
        <f>SUMIF($D$2:D547, D547, $H$2:H547)</f>
        <v>-71</v>
      </c>
      <c r="J547" t="s">
        <v>61</v>
      </c>
      <c r="K547">
        <v>340</v>
      </c>
      <c r="L547">
        <f>ABS(Tabela4[[#This Row],[Quantidade]]*Tabela4[[#This Row],[Valor Unitario]])</f>
        <v>16660</v>
      </c>
      <c r="M547" t="s">
        <v>1216</v>
      </c>
    </row>
    <row r="548" spans="1:13" hidden="1" x14ac:dyDescent="0.25">
      <c r="A548" s="17">
        <v>46202</v>
      </c>
      <c r="B548" t="s">
        <v>1279</v>
      </c>
      <c r="C548">
        <v>261</v>
      </c>
      <c r="D548">
        <v>6002</v>
      </c>
      <c r="E548" t="s">
        <v>134</v>
      </c>
      <c r="F548" t="s">
        <v>229</v>
      </c>
      <c r="G548" t="s">
        <v>230</v>
      </c>
      <c r="H548">
        <v>-1</v>
      </c>
      <c r="I548">
        <f>SUMIF($D$2:D548, D548, $H$2:H548)</f>
        <v>96</v>
      </c>
      <c r="J548" t="s">
        <v>61</v>
      </c>
      <c r="K548">
        <v>6900</v>
      </c>
      <c r="L548">
        <f>ABS(Tabela4[[#This Row],[Quantidade]]*Tabela4[[#This Row],[Valor Unitario]])</f>
        <v>6900</v>
      </c>
      <c r="M548" t="s">
        <v>1280</v>
      </c>
    </row>
    <row r="549" spans="1:13" hidden="1" x14ac:dyDescent="0.25">
      <c r="A549" s="17">
        <v>46203</v>
      </c>
      <c r="B549" t="s">
        <v>575</v>
      </c>
      <c r="C549">
        <v>261</v>
      </c>
      <c r="D549">
        <v>2011</v>
      </c>
      <c r="E549" t="s">
        <v>84</v>
      </c>
      <c r="F549" t="s">
        <v>229</v>
      </c>
      <c r="G549" t="s">
        <v>230</v>
      </c>
      <c r="H549">
        <v>-76</v>
      </c>
      <c r="I549">
        <f>SUMIF($D$2:D549, D549, $H$2:H549)</f>
        <v>-97</v>
      </c>
      <c r="J549" t="s">
        <v>61</v>
      </c>
      <c r="K549">
        <v>9800</v>
      </c>
      <c r="L549">
        <f>ABS(Tabela4[[#This Row],[Quantidade]]*Tabela4[[#This Row],[Valor Unitario]])</f>
        <v>744800</v>
      </c>
      <c r="M549" t="s">
        <v>576</v>
      </c>
    </row>
    <row r="550" spans="1:13" x14ac:dyDescent="0.25">
      <c r="A550" s="17">
        <v>46203</v>
      </c>
      <c r="B550" t="s">
        <v>735</v>
      </c>
      <c r="C550">
        <v>261</v>
      </c>
      <c r="D550">
        <v>2359</v>
      </c>
      <c r="E550" t="s">
        <v>95</v>
      </c>
      <c r="F550" t="s">
        <v>229</v>
      </c>
      <c r="G550" t="s">
        <v>230</v>
      </c>
      <c r="H550">
        <v>-57</v>
      </c>
      <c r="I550">
        <f>SUMIF($D$2:D550, D550, $H$2:H550)</f>
        <v>72</v>
      </c>
      <c r="J550" t="s">
        <v>61</v>
      </c>
      <c r="K550">
        <v>1240</v>
      </c>
      <c r="L550">
        <f>ABS(Tabela4[[#This Row],[Quantidade]]*Tabela4[[#This Row],[Valor Unitario]])</f>
        <v>70680</v>
      </c>
      <c r="M550" t="s">
        <v>736</v>
      </c>
    </row>
    <row r="551" spans="1:13" hidden="1" x14ac:dyDescent="0.25">
      <c r="A551" s="17">
        <v>46203</v>
      </c>
      <c r="B551" t="s">
        <v>991</v>
      </c>
      <c r="C551">
        <v>261</v>
      </c>
      <c r="D551">
        <v>4002</v>
      </c>
      <c r="E551" t="s">
        <v>114</v>
      </c>
      <c r="F551" t="s">
        <v>229</v>
      </c>
      <c r="G551" t="s">
        <v>230</v>
      </c>
      <c r="H551">
        <v>-29</v>
      </c>
      <c r="I551">
        <f>SUMIF($D$2:D551, D551, $H$2:H551)</f>
        <v>30</v>
      </c>
      <c r="J551" t="s">
        <v>61</v>
      </c>
      <c r="K551">
        <v>4100</v>
      </c>
      <c r="L551">
        <f>ABS(Tabela4[[#This Row],[Quantidade]]*Tabela4[[#This Row],[Valor Unitario]])</f>
        <v>118900</v>
      </c>
      <c r="M551" t="s">
        <v>992</v>
      </c>
    </row>
    <row r="552" spans="1:13" hidden="1" x14ac:dyDescent="0.25">
      <c r="A552" s="17">
        <v>46203</v>
      </c>
      <c r="B552" t="s">
        <v>1119</v>
      </c>
      <c r="C552">
        <v>261</v>
      </c>
      <c r="D552">
        <v>5004</v>
      </c>
      <c r="E552" t="s">
        <v>123</v>
      </c>
      <c r="F552" t="s">
        <v>229</v>
      </c>
      <c r="G552" t="s">
        <v>230</v>
      </c>
      <c r="H552">
        <v>-7</v>
      </c>
      <c r="I552">
        <f>SUMIF($D$2:D552, D552, $H$2:H552)</f>
        <v>60</v>
      </c>
      <c r="J552" t="s">
        <v>61</v>
      </c>
      <c r="K552">
        <v>1350</v>
      </c>
      <c r="L552">
        <f>ABS(Tabela4[[#This Row],[Quantidade]]*Tabela4[[#This Row],[Valor Unitario]])</f>
        <v>9450</v>
      </c>
      <c r="M552" t="s">
        <v>1120</v>
      </c>
    </row>
    <row r="553" spans="1:13" hidden="1" x14ac:dyDescent="0.25">
      <c r="A553" s="17">
        <v>46203</v>
      </c>
      <c r="B553" t="s">
        <v>1535</v>
      </c>
      <c r="C553">
        <v>261</v>
      </c>
      <c r="D553">
        <v>9001</v>
      </c>
      <c r="E553" t="s">
        <v>154</v>
      </c>
      <c r="F553" t="s">
        <v>229</v>
      </c>
      <c r="G553" t="s">
        <v>230</v>
      </c>
      <c r="H553">
        <v>-40</v>
      </c>
      <c r="I553">
        <f>SUMIF($D$2:D553, D553, $H$2:H553)</f>
        <v>106</v>
      </c>
      <c r="J553" t="s">
        <v>61</v>
      </c>
      <c r="K553">
        <v>18</v>
      </c>
      <c r="L553">
        <f>ABS(Tabela4[[#This Row],[Quantidade]]*Tabela4[[#This Row],[Valor Unitario]])</f>
        <v>720</v>
      </c>
      <c r="M553" t="s">
        <v>1536</v>
      </c>
    </row>
    <row r="554" spans="1:13" hidden="1" x14ac:dyDescent="0.25">
      <c r="A554" s="17">
        <v>46204</v>
      </c>
      <c r="B554" t="s">
        <v>609</v>
      </c>
      <c r="C554">
        <v>101</v>
      </c>
      <c r="D554">
        <v>2012</v>
      </c>
      <c r="E554" t="s">
        <v>86</v>
      </c>
      <c r="F554" t="s">
        <v>229</v>
      </c>
      <c r="G554" t="s">
        <v>230</v>
      </c>
      <c r="H554">
        <v>46</v>
      </c>
      <c r="I554">
        <f>SUMIF($D$2:D554, D554, $H$2:H554)</f>
        <v>103</v>
      </c>
      <c r="J554" t="s">
        <v>61</v>
      </c>
      <c r="K554">
        <v>5400</v>
      </c>
      <c r="L554">
        <f>ABS(Tabela4[[#This Row],[Quantidade]]*Tabela4[[#This Row],[Valor Unitario]])</f>
        <v>248400</v>
      </c>
      <c r="M554" t="s">
        <v>610</v>
      </c>
    </row>
    <row r="555" spans="1:13" hidden="1" x14ac:dyDescent="0.25">
      <c r="A555" s="17">
        <v>46204</v>
      </c>
      <c r="B555" t="s">
        <v>1025</v>
      </c>
      <c r="C555">
        <v>101</v>
      </c>
      <c r="D555">
        <v>5001</v>
      </c>
      <c r="E555" t="s">
        <v>116</v>
      </c>
      <c r="F555" t="s">
        <v>229</v>
      </c>
      <c r="G555" t="s">
        <v>230</v>
      </c>
      <c r="H555">
        <v>21</v>
      </c>
      <c r="I555">
        <f>SUMIF($D$2:D555, D555, $H$2:H555)</f>
        <v>117</v>
      </c>
      <c r="J555" t="s">
        <v>61</v>
      </c>
      <c r="K555">
        <v>32500</v>
      </c>
      <c r="L555">
        <f>ABS(Tabela4[[#This Row],[Quantidade]]*Tabela4[[#This Row],[Valor Unitario]])</f>
        <v>682500</v>
      </c>
      <c r="M555" t="s">
        <v>1026</v>
      </c>
    </row>
    <row r="556" spans="1:13" hidden="1" x14ac:dyDescent="0.25">
      <c r="A556" s="17">
        <v>46205</v>
      </c>
      <c r="B556" t="s">
        <v>705</v>
      </c>
      <c r="C556">
        <v>101</v>
      </c>
      <c r="D556">
        <v>2358</v>
      </c>
      <c r="E556" t="s">
        <v>93</v>
      </c>
      <c r="F556" t="s">
        <v>229</v>
      </c>
      <c r="G556" t="s">
        <v>230</v>
      </c>
      <c r="H556">
        <v>96</v>
      </c>
      <c r="I556">
        <f>SUMIF($D$2:D556, D556, $H$2:H556)</f>
        <v>199</v>
      </c>
      <c r="J556" t="s">
        <v>61</v>
      </c>
      <c r="K556">
        <v>890</v>
      </c>
      <c r="L556">
        <f>ABS(Tabela4[[#This Row],[Quantidade]]*Tabela4[[#This Row],[Valor Unitario]])</f>
        <v>85440</v>
      </c>
      <c r="M556" t="s">
        <v>706</v>
      </c>
    </row>
    <row r="557" spans="1:13" hidden="1" x14ac:dyDescent="0.25">
      <c r="A557" s="17">
        <v>46205</v>
      </c>
      <c r="B557" t="s">
        <v>1153</v>
      </c>
      <c r="C557">
        <v>101</v>
      </c>
      <c r="D557">
        <v>5005</v>
      </c>
      <c r="E557" t="s">
        <v>125</v>
      </c>
      <c r="F557" t="s">
        <v>229</v>
      </c>
      <c r="G557" t="s">
        <v>230</v>
      </c>
      <c r="H557">
        <v>49</v>
      </c>
      <c r="I557">
        <f>SUMIF($D$2:D557, D557, $H$2:H557)</f>
        <v>149</v>
      </c>
      <c r="J557" t="s">
        <v>61</v>
      </c>
      <c r="K557">
        <v>780</v>
      </c>
      <c r="L557">
        <f>ABS(Tabela4[[#This Row],[Quantidade]]*Tabela4[[#This Row],[Valor Unitario]])</f>
        <v>38220</v>
      </c>
      <c r="M557" t="s">
        <v>1154</v>
      </c>
    </row>
    <row r="558" spans="1:13" hidden="1" x14ac:dyDescent="0.25">
      <c r="A558" s="17">
        <v>46205</v>
      </c>
      <c r="B558" t="s">
        <v>1185</v>
      </c>
      <c r="C558">
        <v>101</v>
      </c>
      <c r="D558">
        <v>5006</v>
      </c>
      <c r="E558" t="s">
        <v>127</v>
      </c>
      <c r="F558" t="s">
        <v>229</v>
      </c>
      <c r="G558" t="s">
        <v>230</v>
      </c>
      <c r="H558">
        <v>26</v>
      </c>
      <c r="I558">
        <f>SUMIF($D$2:D558, D558, $H$2:H558)</f>
        <v>79</v>
      </c>
      <c r="J558" t="s">
        <v>103</v>
      </c>
      <c r="K558">
        <v>22</v>
      </c>
      <c r="L558">
        <f>ABS(Tabela4[[#This Row],[Quantidade]]*Tabela4[[#This Row],[Valor Unitario]])</f>
        <v>572</v>
      </c>
      <c r="M558" t="s">
        <v>1186</v>
      </c>
    </row>
    <row r="559" spans="1:13" hidden="1" x14ac:dyDescent="0.25">
      <c r="A559" s="17">
        <v>46205</v>
      </c>
      <c r="B559" t="s">
        <v>1441</v>
      </c>
      <c r="C559">
        <v>101</v>
      </c>
      <c r="D559">
        <v>7003</v>
      </c>
      <c r="E559" t="s">
        <v>145</v>
      </c>
      <c r="F559" t="s">
        <v>229</v>
      </c>
      <c r="G559" t="s">
        <v>230</v>
      </c>
      <c r="H559">
        <v>89</v>
      </c>
      <c r="I559">
        <f>SUMIF($D$2:D559, D559, $H$2:H559)</f>
        <v>152</v>
      </c>
      <c r="J559" t="s">
        <v>61</v>
      </c>
      <c r="K559">
        <v>130</v>
      </c>
      <c r="L559">
        <f>ABS(Tabela4[[#This Row],[Quantidade]]*Tabela4[[#This Row],[Valor Unitario]])</f>
        <v>11570</v>
      </c>
      <c r="M559" t="s">
        <v>1442</v>
      </c>
    </row>
    <row r="560" spans="1:13" hidden="1" x14ac:dyDescent="0.25">
      <c r="A560" s="17">
        <v>46206</v>
      </c>
      <c r="B560" t="s">
        <v>769</v>
      </c>
      <c r="C560">
        <v>101</v>
      </c>
      <c r="D560">
        <v>2360</v>
      </c>
      <c r="E560" t="s">
        <v>97</v>
      </c>
      <c r="F560" t="s">
        <v>229</v>
      </c>
      <c r="G560" t="s">
        <v>230</v>
      </c>
      <c r="H560">
        <v>43</v>
      </c>
      <c r="I560">
        <f>SUMIF($D$2:D560, D560, $H$2:H560)</f>
        <v>-7</v>
      </c>
      <c r="J560" t="s">
        <v>61</v>
      </c>
      <c r="K560">
        <v>2380</v>
      </c>
      <c r="L560">
        <f>ABS(Tabela4[[#This Row],[Quantidade]]*Tabela4[[#This Row],[Valor Unitario]])</f>
        <v>102340</v>
      </c>
      <c r="M560" t="s">
        <v>770</v>
      </c>
    </row>
    <row r="561" spans="1:13" hidden="1" x14ac:dyDescent="0.25">
      <c r="A561" s="17">
        <v>46206</v>
      </c>
      <c r="B561" t="s">
        <v>1121</v>
      </c>
      <c r="C561">
        <v>101</v>
      </c>
      <c r="D561">
        <v>5004</v>
      </c>
      <c r="E561" t="s">
        <v>123</v>
      </c>
      <c r="F561" t="s">
        <v>229</v>
      </c>
      <c r="G561" t="s">
        <v>230</v>
      </c>
      <c r="H561">
        <v>23</v>
      </c>
      <c r="I561">
        <f>SUMIF($D$2:D561, D561, $H$2:H561)</f>
        <v>83</v>
      </c>
      <c r="J561" t="s">
        <v>61</v>
      </c>
      <c r="K561">
        <v>1350</v>
      </c>
      <c r="L561">
        <f>ABS(Tabela4[[#This Row],[Quantidade]]*Tabela4[[#This Row],[Valor Unitario]])</f>
        <v>31050</v>
      </c>
      <c r="M561" t="s">
        <v>1122</v>
      </c>
    </row>
    <row r="562" spans="1:13" hidden="1" x14ac:dyDescent="0.25">
      <c r="A562" s="17">
        <v>46206</v>
      </c>
      <c r="B562" t="s">
        <v>1537</v>
      </c>
      <c r="C562">
        <v>101</v>
      </c>
      <c r="D562">
        <v>9001</v>
      </c>
      <c r="E562" t="s">
        <v>154</v>
      </c>
      <c r="F562" t="s">
        <v>229</v>
      </c>
      <c r="G562" t="s">
        <v>230</v>
      </c>
      <c r="H562">
        <v>18</v>
      </c>
      <c r="I562">
        <f>SUMIF($D$2:D562, D562, $H$2:H562)</f>
        <v>124</v>
      </c>
      <c r="J562" t="s">
        <v>61</v>
      </c>
      <c r="K562">
        <v>18</v>
      </c>
      <c r="L562">
        <f>ABS(Tabela4[[#This Row],[Quantidade]]*Tabela4[[#This Row],[Valor Unitario]])</f>
        <v>324</v>
      </c>
      <c r="M562" t="s">
        <v>1538</v>
      </c>
    </row>
    <row r="563" spans="1:13" hidden="1" x14ac:dyDescent="0.25">
      <c r="A563" s="17">
        <v>46206</v>
      </c>
      <c r="B563" t="s">
        <v>1601</v>
      </c>
      <c r="C563">
        <v>101</v>
      </c>
      <c r="D563">
        <v>9003</v>
      </c>
      <c r="E563" t="s">
        <v>159</v>
      </c>
      <c r="F563" t="s">
        <v>229</v>
      </c>
      <c r="G563" t="s">
        <v>230</v>
      </c>
      <c r="H563">
        <v>19</v>
      </c>
      <c r="I563">
        <f>SUMIF($D$2:D563, D563, $H$2:H563)</f>
        <v>-23</v>
      </c>
      <c r="J563" t="s">
        <v>61</v>
      </c>
      <c r="K563">
        <v>2.2000000000000002</v>
      </c>
      <c r="L563">
        <f>ABS(Tabela4[[#This Row],[Quantidade]]*Tabela4[[#This Row],[Valor Unitario]])</f>
        <v>41.800000000000004</v>
      </c>
      <c r="M563" t="s">
        <v>1602</v>
      </c>
    </row>
    <row r="564" spans="1:13" hidden="1" x14ac:dyDescent="0.25">
      <c r="A564" s="17">
        <v>46207</v>
      </c>
      <c r="B564" t="s">
        <v>449</v>
      </c>
      <c r="C564">
        <v>101</v>
      </c>
      <c r="D564">
        <v>2007</v>
      </c>
      <c r="E564" t="s">
        <v>76</v>
      </c>
      <c r="F564" t="s">
        <v>229</v>
      </c>
      <c r="G564" t="s">
        <v>230</v>
      </c>
      <c r="H564">
        <v>12</v>
      </c>
      <c r="I564">
        <f>SUMIF($D$2:D564, D564, $H$2:H564)</f>
        <v>43</v>
      </c>
      <c r="J564" t="s">
        <v>61</v>
      </c>
      <c r="K564">
        <v>1980</v>
      </c>
      <c r="L564">
        <f>ABS(Tabela4[[#This Row],[Quantidade]]*Tabela4[[#This Row],[Valor Unitario]])</f>
        <v>23760</v>
      </c>
      <c r="M564" t="s">
        <v>450</v>
      </c>
    </row>
    <row r="565" spans="1:13" hidden="1" x14ac:dyDescent="0.25">
      <c r="A565" s="17">
        <v>46207</v>
      </c>
      <c r="B565" t="s">
        <v>545</v>
      </c>
      <c r="C565">
        <v>101</v>
      </c>
      <c r="D565">
        <v>2010</v>
      </c>
      <c r="E565" t="s">
        <v>82</v>
      </c>
      <c r="F565" t="s">
        <v>229</v>
      </c>
      <c r="G565" t="s">
        <v>230</v>
      </c>
      <c r="H565">
        <v>38</v>
      </c>
      <c r="I565">
        <f>SUMIF($D$2:D565, D565, $H$2:H565)</f>
        <v>44</v>
      </c>
      <c r="J565" t="s">
        <v>61</v>
      </c>
      <c r="K565">
        <v>2150</v>
      </c>
      <c r="L565">
        <f>ABS(Tabela4[[#This Row],[Quantidade]]*Tabela4[[#This Row],[Valor Unitario]])</f>
        <v>81700</v>
      </c>
      <c r="M565" t="s">
        <v>546</v>
      </c>
    </row>
    <row r="566" spans="1:13" hidden="1" x14ac:dyDescent="0.25">
      <c r="A566" s="17">
        <v>46207</v>
      </c>
      <c r="B566" t="s">
        <v>1345</v>
      </c>
      <c r="C566">
        <v>101</v>
      </c>
      <c r="D566">
        <v>6004</v>
      </c>
      <c r="E566" t="s">
        <v>138</v>
      </c>
      <c r="F566" t="s">
        <v>229</v>
      </c>
      <c r="G566" t="s">
        <v>230</v>
      </c>
      <c r="H566">
        <v>89</v>
      </c>
      <c r="I566">
        <f>SUMIF($D$2:D566, D566, $H$2:H566)</f>
        <v>361</v>
      </c>
      <c r="J566" t="s">
        <v>61</v>
      </c>
      <c r="K566">
        <v>2650</v>
      </c>
      <c r="L566">
        <f>ABS(Tabela4[[#This Row],[Quantidade]]*Tabela4[[#This Row],[Valor Unitario]])</f>
        <v>235850</v>
      </c>
      <c r="M566" t="s">
        <v>1346</v>
      </c>
    </row>
    <row r="567" spans="1:13" hidden="1" x14ac:dyDescent="0.25">
      <c r="A567" s="17">
        <v>46207</v>
      </c>
      <c r="B567" t="s">
        <v>1505</v>
      </c>
      <c r="C567">
        <v>101</v>
      </c>
      <c r="D567">
        <v>8002</v>
      </c>
      <c r="E567" t="s">
        <v>151</v>
      </c>
      <c r="F567" t="s">
        <v>229</v>
      </c>
      <c r="G567" t="s">
        <v>230</v>
      </c>
      <c r="H567">
        <v>70</v>
      </c>
      <c r="I567">
        <f>SUMIF($D$2:D567, D567, $H$2:H567)</f>
        <v>9</v>
      </c>
      <c r="J567" t="s">
        <v>152</v>
      </c>
      <c r="K567">
        <v>32</v>
      </c>
      <c r="L567">
        <f>ABS(Tabela4[[#This Row],[Quantidade]]*Tabela4[[#This Row],[Valor Unitario]])</f>
        <v>2240</v>
      </c>
      <c r="M567" t="s">
        <v>1506</v>
      </c>
    </row>
    <row r="568" spans="1:13" hidden="1" x14ac:dyDescent="0.25">
      <c r="A568" s="17">
        <v>46208</v>
      </c>
      <c r="B568" t="s">
        <v>961</v>
      </c>
      <c r="C568">
        <v>101</v>
      </c>
      <c r="D568">
        <v>4001</v>
      </c>
      <c r="E568" t="s">
        <v>111</v>
      </c>
      <c r="F568" t="s">
        <v>229</v>
      </c>
      <c r="G568" t="s">
        <v>230</v>
      </c>
      <c r="H568">
        <v>54</v>
      </c>
      <c r="I568">
        <f>SUMIF($D$2:D568, D568, $H$2:H568)</f>
        <v>70</v>
      </c>
      <c r="J568" t="s">
        <v>61</v>
      </c>
      <c r="K568">
        <v>3200</v>
      </c>
      <c r="L568">
        <f>ABS(Tabela4[[#This Row],[Quantidade]]*Tabela4[[#This Row],[Valor Unitario]])</f>
        <v>172800</v>
      </c>
      <c r="M568" t="s">
        <v>962</v>
      </c>
    </row>
    <row r="569" spans="1:13" hidden="1" x14ac:dyDescent="0.25">
      <c r="A569" s="17">
        <v>46208</v>
      </c>
      <c r="B569" t="s">
        <v>1665</v>
      </c>
      <c r="C569">
        <v>101</v>
      </c>
      <c r="D569">
        <v>9005</v>
      </c>
      <c r="E569" t="s">
        <v>163</v>
      </c>
      <c r="F569" t="s">
        <v>229</v>
      </c>
      <c r="G569" t="s">
        <v>230</v>
      </c>
      <c r="H569">
        <v>25</v>
      </c>
      <c r="I569">
        <f>SUMIF($D$2:D569, D569, $H$2:H569)</f>
        <v>81</v>
      </c>
      <c r="J569" t="s">
        <v>61</v>
      </c>
      <c r="K569">
        <v>8.9</v>
      </c>
      <c r="L569">
        <f>ABS(Tabela4[[#This Row],[Quantidade]]*Tabela4[[#This Row],[Valor Unitario]])</f>
        <v>222.5</v>
      </c>
      <c r="M569" t="s">
        <v>1666</v>
      </c>
    </row>
    <row r="570" spans="1:13" hidden="1" x14ac:dyDescent="0.25">
      <c r="A570" s="17">
        <v>46209</v>
      </c>
      <c r="B570" t="s">
        <v>833</v>
      </c>
      <c r="C570">
        <v>101</v>
      </c>
      <c r="D570">
        <v>3001</v>
      </c>
      <c r="E570" t="s">
        <v>101</v>
      </c>
      <c r="F570" t="s">
        <v>229</v>
      </c>
      <c r="G570" t="s">
        <v>230</v>
      </c>
      <c r="H570">
        <v>13</v>
      </c>
      <c r="I570">
        <f>SUMIF($D$2:D570, D570, $H$2:H570)</f>
        <v>257</v>
      </c>
      <c r="J570" t="s">
        <v>103</v>
      </c>
      <c r="K570">
        <v>320</v>
      </c>
      <c r="L570">
        <f>ABS(Tabela4[[#This Row],[Quantidade]]*Tabela4[[#This Row],[Valor Unitario]])</f>
        <v>4160</v>
      </c>
      <c r="M570" t="s">
        <v>834</v>
      </c>
    </row>
    <row r="571" spans="1:13" hidden="1" x14ac:dyDescent="0.25">
      <c r="A571" s="17">
        <v>46209</v>
      </c>
      <c r="B571" t="s">
        <v>1217</v>
      </c>
      <c r="C571">
        <v>101</v>
      </c>
      <c r="D571">
        <v>5007</v>
      </c>
      <c r="E571" t="s">
        <v>129</v>
      </c>
      <c r="F571" t="s">
        <v>229</v>
      </c>
      <c r="G571" t="s">
        <v>230</v>
      </c>
      <c r="H571">
        <v>34</v>
      </c>
      <c r="I571">
        <f>SUMIF($D$2:D571, D571, $H$2:H571)</f>
        <v>-37</v>
      </c>
      <c r="J571" t="s">
        <v>61</v>
      </c>
      <c r="K571">
        <v>340</v>
      </c>
      <c r="L571">
        <f>ABS(Tabela4[[#This Row],[Quantidade]]*Tabela4[[#This Row],[Valor Unitario]])</f>
        <v>11560</v>
      </c>
      <c r="M571" t="s">
        <v>1218</v>
      </c>
    </row>
    <row r="572" spans="1:13" hidden="1" x14ac:dyDescent="0.25">
      <c r="A572" s="17">
        <v>46209</v>
      </c>
      <c r="B572" t="s">
        <v>1473</v>
      </c>
      <c r="C572">
        <v>101</v>
      </c>
      <c r="D572">
        <v>8001</v>
      </c>
      <c r="E572" t="s">
        <v>147</v>
      </c>
      <c r="F572" t="s">
        <v>229</v>
      </c>
      <c r="G572" t="s">
        <v>230</v>
      </c>
      <c r="H572">
        <v>55</v>
      </c>
      <c r="I572">
        <f>SUMIF($D$2:D572, D572, $H$2:H572)</f>
        <v>76</v>
      </c>
      <c r="J572" t="s">
        <v>149</v>
      </c>
      <c r="K572">
        <v>28</v>
      </c>
      <c r="L572">
        <f>ABS(Tabela4[[#This Row],[Quantidade]]*Tabela4[[#This Row],[Valor Unitario]])</f>
        <v>1540</v>
      </c>
      <c r="M572" t="s">
        <v>1474</v>
      </c>
    </row>
    <row r="573" spans="1:13" hidden="1" x14ac:dyDescent="0.25">
      <c r="A573" s="17">
        <v>46210</v>
      </c>
      <c r="B573" t="s">
        <v>641</v>
      </c>
      <c r="C573">
        <v>101</v>
      </c>
      <c r="D573">
        <v>2356</v>
      </c>
      <c r="E573" t="s">
        <v>88</v>
      </c>
      <c r="F573" t="s">
        <v>229</v>
      </c>
      <c r="G573" t="s">
        <v>230</v>
      </c>
      <c r="H573">
        <v>93</v>
      </c>
      <c r="I573">
        <f>SUMIF($D$2:D573, D573, $H$2:H573)</f>
        <v>108</v>
      </c>
      <c r="J573" t="s">
        <v>61</v>
      </c>
      <c r="K573">
        <v>145</v>
      </c>
      <c r="L573">
        <f>ABS(Tabela4[[#This Row],[Quantidade]]*Tabela4[[#This Row],[Valor Unitario]])</f>
        <v>13485</v>
      </c>
      <c r="M573" t="s">
        <v>642</v>
      </c>
    </row>
    <row r="574" spans="1:13" x14ac:dyDescent="0.25">
      <c r="A574" s="17">
        <v>46210</v>
      </c>
      <c r="B574" t="s">
        <v>737</v>
      </c>
      <c r="C574">
        <v>101</v>
      </c>
      <c r="D574">
        <v>2359</v>
      </c>
      <c r="E574" t="s">
        <v>95</v>
      </c>
      <c r="F574" t="s">
        <v>229</v>
      </c>
      <c r="G574" t="s">
        <v>230</v>
      </c>
      <c r="H574">
        <v>100</v>
      </c>
      <c r="I574">
        <f>SUMIF($D$2:D574, D574, $H$2:H574)</f>
        <v>172</v>
      </c>
      <c r="J574" t="s">
        <v>61</v>
      </c>
      <c r="K574">
        <v>1240</v>
      </c>
      <c r="L574">
        <f>ABS(Tabela4[[#This Row],[Quantidade]]*Tabela4[[#This Row],[Valor Unitario]])</f>
        <v>124000</v>
      </c>
      <c r="M574" t="s">
        <v>738</v>
      </c>
    </row>
    <row r="575" spans="1:13" hidden="1" x14ac:dyDescent="0.25">
      <c r="A575" s="17">
        <v>46210</v>
      </c>
      <c r="B575" t="s">
        <v>865</v>
      </c>
      <c r="C575">
        <v>101</v>
      </c>
      <c r="D575">
        <v>3002</v>
      </c>
      <c r="E575" t="s">
        <v>105</v>
      </c>
      <c r="F575" t="s">
        <v>229</v>
      </c>
      <c r="G575" t="s">
        <v>230</v>
      </c>
      <c r="H575">
        <v>14</v>
      </c>
      <c r="I575">
        <f>SUMIF($D$2:D575, D575, $H$2:H575)</f>
        <v>-35</v>
      </c>
      <c r="J575" t="s">
        <v>61</v>
      </c>
      <c r="K575">
        <v>95</v>
      </c>
      <c r="L575">
        <f>ABS(Tabela4[[#This Row],[Quantidade]]*Tabela4[[#This Row],[Valor Unitario]])</f>
        <v>1330</v>
      </c>
      <c r="M575" t="s">
        <v>866</v>
      </c>
    </row>
    <row r="576" spans="1:13" hidden="1" x14ac:dyDescent="0.25">
      <c r="A576" s="17">
        <v>46210</v>
      </c>
      <c r="B576" t="s">
        <v>1057</v>
      </c>
      <c r="C576">
        <v>101</v>
      </c>
      <c r="D576">
        <v>5002</v>
      </c>
      <c r="E576" t="s">
        <v>119</v>
      </c>
      <c r="F576" t="s">
        <v>229</v>
      </c>
      <c r="G576" t="s">
        <v>230</v>
      </c>
      <c r="H576">
        <v>26</v>
      </c>
      <c r="I576">
        <f>SUMIF($D$2:D576, D576, $H$2:H576)</f>
        <v>85</v>
      </c>
      <c r="J576" t="s">
        <v>61</v>
      </c>
      <c r="K576">
        <v>17800</v>
      </c>
      <c r="L576">
        <f>ABS(Tabela4[[#This Row],[Quantidade]]*Tabela4[[#This Row],[Valor Unitario]])</f>
        <v>462800</v>
      </c>
      <c r="M576" t="s">
        <v>1058</v>
      </c>
    </row>
    <row r="577" spans="1:13" hidden="1" x14ac:dyDescent="0.25">
      <c r="A577" s="17">
        <v>46210</v>
      </c>
      <c r="B577" t="s">
        <v>1313</v>
      </c>
      <c r="C577">
        <v>101</v>
      </c>
      <c r="D577">
        <v>6003</v>
      </c>
      <c r="E577" t="s">
        <v>136</v>
      </c>
      <c r="F577" t="s">
        <v>229</v>
      </c>
      <c r="G577" t="s">
        <v>230</v>
      </c>
      <c r="H577">
        <v>35</v>
      </c>
      <c r="I577">
        <f>SUMIF($D$2:D577, D577, $H$2:H577)</f>
        <v>64</v>
      </c>
      <c r="J577" t="s">
        <v>103</v>
      </c>
      <c r="K577">
        <v>85</v>
      </c>
      <c r="L577">
        <f>ABS(Tabela4[[#This Row],[Quantidade]]*Tabela4[[#This Row],[Valor Unitario]])</f>
        <v>2975</v>
      </c>
      <c r="M577" t="s">
        <v>1314</v>
      </c>
    </row>
    <row r="578" spans="1:13" hidden="1" x14ac:dyDescent="0.25">
      <c r="A578" s="17">
        <v>46211</v>
      </c>
      <c r="B578" t="s">
        <v>481</v>
      </c>
      <c r="C578">
        <v>101</v>
      </c>
      <c r="D578">
        <v>2008</v>
      </c>
      <c r="E578" t="s">
        <v>78</v>
      </c>
      <c r="F578" t="s">
        <v>229</v>
      </c>
      <c r="G578" t="s">
        <v>230</v>
      </c>
      <c r="H578">
        <v>69</v>
      </c>
      <c r="I578">
        <f>SUMIF($D$2:D578, D578, $H$2:H578)</f>
        <v>143</v>
      </c>
      <c r="J578" t="s">
        <v>61</v>
      </c>
      <c r="K578">
        <v>24500</v>
      </c>
      <c r="L578">
        <f>ABS(Tabela4[[#This Row],[Quantidade]]*Tabela4[[#This Row],[Valor Unitario]])</f>
        <v>1690500</v>
      </c>
      <c r="M578" t="s">
        <v>482</v>
      </c>
    </row>
    <row r="579" spans="1:13" hidden="1" x14ac:dyDescent="0.25">
      <c r="A579" s="17">
        <v>46211</v>
      </c>
      <c r="B579" t="s">
        <v>1249</v>
      </c>
      <c r="C579">
        <v>101</v>
      </c>
      <c r="D579">
        <v>6001</v>
      </c>
      <c r="E579" t="s">
        <v>131</v>
      </c>
      <c r="F579" t="s">
        <v>229</v>
      </c>
      <c r="G579" t="s">
        <v>230</v>
      </c>
      <c r="H579">
        <v>95</v>
      </c>
      <c r="I579">
        <f>SUMIF($D$2:D579, D579, $H$2:H579)</f>
        <v>92</v>
      </c>
      <c r="J579" t="s">
        <v>61</v>
      </c>
      <c r="K579">
        <v>15800</v>
      </c>
      <c r="L579">
        <f>ABS(Tabela4[[#This Row],[Quantidade]]*Tabela4[[#This Row],[Valor Unitario]])</f>
        <v>1501000</v>
      </c>
      <c r="M579" t="s">
        <v>1250</v>
      </c>
    </row>
    <row r="580" spans="1:13" hidden="1" x14ac:dyDescent="0.25">
      <c r="A580" s="17">
        <v>46211</v>
      </c>
      <c r="B580" t="s">
        <v>1569</v>
      </c>
      <c r="C580">
        <v>101</v>
      </c>
      <c r="D580">
        <v>9002</v>
      </c>
      <c r="E580" t="s">
        <v>157</v>
      </c>
      <c r="F580" t="s">
        <v>229</v>
      </c>
      <c r="G580" t="s">
        <v>230</v>
      </c>
      <c r="H580">
        <v>87</v>
      </c>
      <c r="I580">
        <f>SUMIF($D$2:D580, D580, $H$2:H580)</f>
        <v>203</v>
      </c>
      <c r="J580" t="s">
        <v>61</v>
      </c>
      <c r="K580">
        <v>6.5</v>
      </c>
      <c r="L580">
        <f>ABS(Tabela4[[#This Row],[Quantidade]]*Tabela4[[#This Row],[Valor Unitario]])</f>
        <v>565.5</v>
      </c>
      <c r="M580" t="s">
        <v>1570</v>
      </c>
    </row>
    <row r="581" spans="1:13" hidden="1" x14ac:dyDescent="0.25">
      <c r="A581" s="17">
        <v>46212</v>
      </c>
      <c r="B581" t="s">
        <v>513</v>
      </c>
      <c r="C581">
        <v>101</v>
      </c>
      <c r="D581">
        <v>2009</v>
      </c>
      <c r="E581" t="s">
        <v>80</v>
      </c>
      <c r="F581" t="s">
        <v>229</v>
      </c>
      <c r="G581" t="s">
        <v>230</v>
      </c>
      <c r="H581">
        <v>89</v>
      </c>
      <c r="I581">
        <f>SUMIF($D$2:D581, D581, $H$2:H581)</f>
        <v>143</v>
      </c>
      <c r="J581" t="s">
        <v>61</v>
      </c>
      <c r="K581">
        <v>1650</v>
      </c>
      <c r="L581">
        <f>ABS(Tabela4[[#This Row],[Quantidade]]*Tabela4[[#This Row],[Valor Unitario]])</f>
        <v>146850</v>
      </c>
      <c r="M581" t="s">
        <v>514</v>
      </c>
    </row>
    <row r="582" spans="1:13" hidden="1" x14ac:dyDescent="0.25">
      <c r="A582" s="17">
        <v>46212</v>
      </c>
      <c r="B582" t="s">
        <v>897</v>
      </c>
      <c r="C582">
        <v>101</v>
      </c>
      <c r="D582">
        <v>3003</v>
      </c>
      <c r="E582" t="s">
        <v>107</v>
      </c>
      <c r="F582" t="s">
        <v>229</v>
      </c>
      <c r="G582" t="s">
        <v>230</v>
      </c>
      <c r="H582">
        <v>45</v>
      </c>
      <c r="I582">
        <f>SUMIF($D$2:D582, D582, $H$2:H582)</f>
        <v>67</v>
      </c>
      <c r="J582" t="s">
        <v>61</v>
      </c>
      <c r="K582">
        <v>2450</v>
      </c>
      <c r="L582">
        <f>ABS(Tabela4[[#This Row],[Quantidade]]*Tabela4[[#This Row],[Valor Unitario]])</f>
        <v>110250</v>
      </c>
      <c r="M582" t="s">
        <v>898</v>
      </c>
    </row>
    <row r="583" spans="1:13" hidden="1" x14ac:dyDescent="0.25">
      <c r="A583" s="17">
        <v>46213</v>
      </c>
      <c r="B583" t="s">
        <v>381</v>
      </c>
      <c r="C583">
        <v>101</v>
      </c>
      <c r="D583">
        <v>2004</v>
      </c>
      <c r="E583" t="s">
        <v>69</v>
      </c>
      <c r="F583" t="s">
        <v>229</v>
      </c>
      <c r="G583" t="s">
        <v>230</v>
      </c>
      <c r="H583">
        <v>41</v>
      </c>
      <c r="I583">
        <f>SUMIF($D$2:D583, D583, $H$2:H583)</f>
        <v>127</v>
      </c>
      <c r="J583" t="s">
        <v>61</v>
      </c>
      <c r="K583">
        <v>11800</v>
      </c>
      <c r="L583">
        <f>ABS(Tabela4[[#This Row],[Quantidade]]*Tabela4[[#This Row],[Valor Unitario]])</f>
        <v>483800</v>
      </c>
      <c r="M583" t="s">
        <v>291</v>
      </c>
    </row>
    <row r="584" spans="1:13" hidden="1" x14ac:dyDescent="0.25">
      <c r="A584" s="17">
        <v>46213</v>
      </c>
      <c r="B584" t="s">
        <v>397</v>
      </c>
      <c r="C584">
        <v>101</v>
      </c>
      <c r="D584">
        <v>2005</v>
      </c>
      <c r="E584" t="s">
        <v>71</v>
      </c>
      <c r="F584" t="s">
        <v>229</v>
      </c>
      <c r="G584" t="s">
        <v>230</v>
      </c>
      <c r="H584">
        <v>77</v>
      </c>
      <c r="I584">
        <f>SUMIF($D$2:D584, D584, $H$2:H584)</f>
        <v>78</v>
      </c>
      <c r="J584" t="s">
        <v>61</v>
      </c>
      <c r="K584">
        <v>3450</v>
      </c>
      <c r="L584">
        <f>ABS(Tabela4[[#This Row],[Quantidade]]*Tabela4[[#This Row],[Valor Unitario]])</f>
        <v>265650</v>
      </c>
      <c r="M584" t="s">
        <v>307</v>
      </c>
    </row>
    <row r="585" spans="1:13" hidden="1" x14ac:dyDescent="0.25">
      <c r="A585" s="17">
        <v>46213</v>
      </c>
      <c r="B585" t="s">
        <v>417</v>
      </c>
      <c r="C585">
        <v>101</v>
      </c>
      <c r="D585">
        <v>2006</v>
      </c>
      <c r="E585" t="s">
        <v>74</v>
      </c>
      <c r="F585" t="s">
        <v>229</v>
      </c>
      <c r="G585" t="s">
        <v>230</v>
      </c>
      <c r="H585">
        <v>92</v>
      </c>
      <c r="I585">
        <f>SUMIF($D$2:D585, D585, $H$2:H585)</f>
        <v>128</v>
      </c>
      <c r="J585" t="s">
        <v>61</v>
      </c>
      <c r="K585">
        <v>2870</v>
      </c>
      <c r="L585">
        <f>ABS(Tabela4[[#This Row],[Quantidade]]*Tabela4[[#This Row],[Valor Unitario]])</f>
        <v>264040</v>
      </c>
      <c r="M585" t="s">
        <v>418</v>
      </c>
    </row>
    <row r="586" spans="1:13" hidden="1" x14ac:dyDescent="0.25">
      <c r="A586" s="17">
        <v>46213</v>
      </c>
      <c r="B586" t="s">
        <v>1281</v>
      </c>
      <c r="C586">
        <v>101</v>
      </c>
      <c r="D586">
        <v>6002</v>
      </c>
      <c r="E586" t="s">
        <v>134</v>
      </c>
      <c r="F586" t="s">
        <v>229</v>
      </c>
      <c r="G586" t="s">
        <v>230</v>
      </c>
      <c r="H586">
        <v>14</v>
      </c>
      <c r="I586">
        <f>SUMIF($D$2:D586, D586, $H$2:H586)</f>
        <v>110</v>
      </c>
      <c r="J586" t="s">
        <v>61</v>
      </c>
      <c r="K586">
        <v>6900</v>
      </c>
      <c r="L586">
        <f>ABS(Tabela4[[#This Row],[Quantidade]]*Tabela4[[#This Row],[Valor Unitario]])</f>
        <v>96600</v>
      </c>
      <c r="M586" t="s">
        <v>1282</v>
      </c>
    </row>
    <row r="587" spans="1:13" hidden="1" x14ac:dyDescent="0.25">
      <c r="A587" s="17">
        <v>46213</v>
      </c>
      <c r="B587" t="s">
        <v>1377</v>
      </c>
      <c r="C587">
        <v>101</v>
      </c>
      <c r="D587">
        <v>7001</v>
      </c>
      <c r="E587" t="s">
        <v>140</v>
      </c>
      <c r="F587" t="s">
        <v>229</v>
      </c>
      <c r="G587" t="s">
        <v>230</v>
      </c>
      <c r="H587">
        <v>64</v>
      </c>
      <c r="I587">
        <f>SUMIF($D$2:D587, D587, $H$2:H587)</f>
        <v>32</v>
      </c>
      <c r="J587" t="s">
        <v>61</v>
      </c>
      <c r="K587">
        <v>210</v>
      </c>
      <c r="L587">
        <f>ABS(Tabela4[[#This Row],[Quantidade]]*Tabela4[[#This Row],[Valor Unitario]])</f>
        <v>13440</v>
      </c>
      <c r="M587" t="s">
        <v>1378</v>
      </c>
    </row>
    <row r="588" spans="1:13" hidden="1" x14ac:dyDescent="0.25">
      <c r="A588" s="17">
        <v>46214</v>
      </c>
      <c r="B588" t="s">
        <v>577</v>
      </c>
      <c r="C588">
        <v>101</v>
      </c>
      <c r="D588">
        <v>2011</v>
      </c>
      <c r="E588" t="s">
        <v>84</v>
      </c>
      <c r="F588" t="s">
        <v>229</v>
      </c>
      <c r="G588" t="s">
        <v>230</v>
      </c>
      <c r="H588">
        <v>86</v>
      </c>
      <c r="I588">
        <f>SUMIF($D$2:D588, D588, $H$2:H588)</f>
        <v>-11</v>
      </c>
      <c r="J588" t="s">
        <v>61</v>
      </c>
      <c r="K588">
        <v>9800</v>
      </c>
      <c r="L588">
        <f>ABS(Tabela4[[#This Row],[Quantidade]]*Tabela4[[#This Row],[Valor Unitario]])</f>
        <v>842800</v>
      </c>
      <c r="M588" t="s">
        <v>578</v>
      </c>
    </row>
    <row r="589" spans="1:13" hidden="1" x14ac:dyDescent="0.25">
      <c r="A589" s="17">
        <v>46214</v>
      </c>
      <c r="B589" t="s">
        <v>673</v>
      </c>
      <c r="C589">
        <v>101</v>
      </c>
      <c r="D589">
        <v>2357</v>
      </c>
      <c r="E589" t="s">
        <v>91</v>
      </c>
      <c r="F589" t="s">
        <v>229</v>
      </c>
      <c r="G589" t="s">
        <v>230</v>
      </c>
      <c r="H589">
        <v>60</v>
      </c>
      <c r="I589">
        <f>SUMIF($D$2:D589, D589, $H$2:H589)</f>
        <v>123</v>
      </c>
      <c r="J589" t="s">
        <v>61</v>
      </c>
      <c r="K589">
        <v>210</v>
      </c>
      <c r="L589">
        <f>ABS(Tabela4[[#This Row],[Quantidade]]*Tabela4[[#This Row],[Valor Unitario]])</f>
        <v>12600</v>
      </c>
      <c r="M589" t="s">
        <v>674</v>
      </c>
    </row>
    <row r="590" spans="1:13" hidden="1" x14ac:dyDescent="0.25">
      <c r="A590" s="17">
        <v>46214</v>
      </c>
      <c r="B590" t="s">
        <v>1089</v>
      </c>
      <c r="C590">
        <v>101</v>
      </c>
      <c r="D590">
        <v>5003</v>
      </c>
      <c r="E590" t="s">
        <v>121</v>
      </c>
      <c r="F590" t="s">
        <v>229</v>
      </c>
      <c r="G590" t="s">
        <v>230</v>
      </c>
      <c r="H590">
        <v>51</v>
      </c>
      <c r="I590">
        <f>SUMIF($D$2:D590, D590, $H$2:H590)</f>
        <v>182</v>
      </c>
      <c r="J590" t="s">
        <v>61</v>
      </c>
      <c r="K590">
        <v>8900</v>
      </c>
      <c r="L590">
        <f>ABS(Tabela4[[#This Row],[Quantidade]]*Tabela4[[#This Row],[Valor Unitario]])</f>
        <v>453900</v>
      </c>
      <c r="M590" t="s">
        <v>1090</v>
      </c>
    </row>
    <row r="591" spans="1:13" hidden="1" x14ac:dyDescent="0.25">
      <c r="A591" s="17">
        <v>46216</v>
      </c>
      <c r="B591" t="s">
        <v>801</v>
      </c>
      <c r="C591">
        <v>101</v>
      </c>
      <c r="D591">
        <v>2361</v>
      </c>
      <c r="E591" t="s">
        <v>99</v>
      </c>
      <c r="F591" t="s">
        <v>229</v>
      </c>
      <c r="G591" t="s">
        <v>230</v>
      </c>
      <c r="H591">
        <v>36</v>
      </c>
      <c r="I591">
        <f>SUMIF($D$2:D591, D591, $H$2:H591)</f>
        <v>34</v>
      </c>
      <c r="J591" t="s">
        <v>61</v>
      </c>
      <c r="K591">
        <v>68</v>
      </c>
      <c r="L591">
        <f>ABS(Tabela4[[#This Row],[Quantidade]]*Tabela4[[#This Row],[Valor Unitario]])</f>
        <v>2448</v>
      </c>
      <c r="M591" t="s">
        <v>802</v>
      </c>
    </row>
    <row r="592" spans="1:13" hidden="1" x14ac:dyDescent="0.25">
      <c r="A592" s="17">
        <v>46216</v>
      </c>
      <c r="B592" t="s">
        <v>929</v>
      </c>
      <c r="C592">
        <v>101</v>
      </c>
      <c r="D592">
        <v>3004</v>
      </c>
      <c r="E592" t="s">
        <v>109</v>
      </c>
      <c r="F592" t="s">
        <v>229</v>
      </c>
      <c r="G592" t="s">
        <v>230</v>
      </c>
      <c r="H592">
        <v>92</v>
      </c>
      <c r="I592">
        <f>SUMIF($D$2:D592, D592, $H$2:H592)</f>
        <v>261</v>
      </c>
      <c r="J592" t="s">
        <v>61</v>
      </c>
      <c r="K592">
        <v>2180</v>
      </c>
      <c r="L592">
        <f>ABS(Tabela4[[#This Row],[Quantidade]]*Tabela4[[#This Row],[Valor Unitario]])</f>
        <v>200560</v>
      </c>
      <c r="M592" t="s">
        <v>930</v>
      </c>
    </row>
    <row r="593" spans="1:13" hidden="1" x14ac:dyDescent="0.25">
      <c r="A593" s="17">
        <v>46216</v>
      </c>
      <c r="B593" t="s">
        <v>993</v>
      </c>
      <c r="C593">
        <v>101</v>
      </c>
      <c r="D593">
        <v>4002</v>
      </c>
      <c r="E593" t="s">
        <v>114</v>
      </c>
      <c r="F593" t="s">
        <v>229</v>
      </c>
      <c r="G593" t="s">
        <v>230</v>
      </c>
      <c r="H593">
        <v>46</v>
      </c>
      <c r="I593">
        <f>SUMIF($D$2:D593, D593, $H$2:H593)</f>
        <v>76</v>
      </c>
      <c r="J593" t="s">
        <v>61</v>
      </c>
      <c r="K593">
        <v>4100</v>
      </c>
      <c r="L593">
        <f>ABS(Tabela4[[#This Row],[Quantidade]]*Tabela4[[#This Row],[Valor Unitario]])</f>
        <v>188600</v>
      </c>
      <c r="M593" t="s">
        <v>994</v>
      </c>
    </row>
    <row r="594" spans="1:13" hidden="1" x14ac:dyDescent="0.25">
      <c r="A594" s="17">
        <v>46216</v>
      </c>
      <c r="B594" t="s">
        <v>1409</v>
      </c>
      <c r="C594">
        <v>101</v>
      </c>
      <c r="D594">
        <v>7002</v>
      </c>
      <c r="E594" t="s">
        <v>143</v>
      </c>
      <c r="F594" t="s">
        <v>229</v>
      </c>
      <c r="G594" t="s">
        <v>230</v>
      </c>
      <c r="H594">
        <v>8</v>
      </c>
      <c r="I594">
        <f>SUMIF($D$2:D594, D594, $H$2:H594)</f>
        <v>31</v>
      </c>
      <c r="J594" t="s">
        <v>61</v>
      </c>
      <c r="K594">
        <v>95</v>
      </c>
      <c r="L594">
        <f>ABS(Tabela4[[#This Row],[Quantidade]]*Tabela4[[#This Row],[Valor Unitario]])</f>
        <v>760</v>
      </c>
      <c r="M594" t="s">
        <v>1410</v>
      </c>
    </row>
    <row r="595" spans="1:13" hidden="1" x14ac:dyDescent="0.25">
      <c r="A595" s="17">
        <v>46217</v>
      </c>
      <c r="B595" t="s">
        <v>1633</v>
      </c>
      <c r="C595">
        <v>101</v>
      </c>
      <c r="D595">
        <v>9004</v>
      </c>
      <c r="E595" t="s">
        <v>161</v>
      </c>
      <c r="F595" t="s">
        <v>229</v>
      </c>
      <c r="G595" t="s">
        <v>230</v>
      </c>
      <c r="H595">
        <v>87</v>
      </c>
      <c r="I595">
        <f>SUMIF($D$2:D595, D595, $H$2:H595)</f>
        <v>193</v>
      </c>
      <c r="J595" t="s">
        <v>61</v>
      </c>
      <c r="K595">
        <v>45</v>
      </c>
      <c r="L595">
        <f>ABS(Tabela4[[#This Row],[Quantidade]]*Tabela4[[#This Row],[Valor Unitario]])</f>
        <v>3915</v>
      </c>
      <c r="M595" t="s">
        <v>1634</v>
      </c>
    </row>
    <row r="596" spans="1:13" x14ac:dyDescent="0.25">
      <c r="A596" s="17">
        <v>46218</v>
      </c>
      <c r="B596" t="s">
        <v>739</v>
      </c>
      <c r="C596">
        <v>261</v>
      </c>
      <c r="D596">
        <v>2359</v>
      </c>
      <c r="E596" t="s">
        <v>95</v>
      </c>
      <c r="F596" t="s">
        <v>229</v>
      </c>
      <c r="G596" t="s">
        <v>230</v>
      </c>
      <c r="H596">
        <v>-94</v>
      </c>
      <c r="I596">
        <f>SUMIF($D$2:D596, D596, $H$2:H596)</f>
        <v>78</v>
      </c>
      <c r="J596" t="s">
        <v>61</v>
      </c>
      <c r="K596">
        <v>1240</v>
      </c>
      <c r="L596">
        <f>ABS(Tabela4[[#This Row],[Quantidade]]*Tabela4[[#This Row],[Valor Unitario]])</f>
        <v>116560</v>
      </c>
      <c r="M596" t="s">
        <v>740</v>
      </c>
    </row>
    <row r="597" spans="1:13" hidden="1" x14ac:dyDescent="0.25">
      <c r="A597" s="17">
        <v>46218</v>
      </c>
      <c r="B597" t="s">
        <v>1443</v>
      </c>
      <c r="C597">
        <v>261</v>
      </c>
      <c r="D597">
        <v>7003</v>
      </c>
      <c r="E597" t="s">
        <v>145</v>
      </c>
      <c r="F597" t="s">
        <v>229</v>
      </c>
      <c r="G597" t="s">
        <v>230</v>
      </c>
      <c r="H597">
        <v>-60</v>
      </c>
      <c r="I597">
        <f>SUMIF($D$2:D597, D597, $H$2:H597)</f>
        <v>92</v>
      </c>
      <c r="J597" t="s">
        <v>61</v>
      </c>
      <c r="K597">
        <v>130</v>
      </c>
      <c r="L597">
        <f>ABS(Tabela4[[#This Row],[Quantidade]]*Tabela4[[#This Row],[Valor Unitario]])</f>
        <v>7800</v>
      </c>
      <c r="M597" t="s">
        <v>1444</v>
      </c>
    </row>
    <row r="598" spans="1:13" hidden="1" x14ac:dyDescent="0.25">
      <c r="A598" s="17">
        <v>46218</v>
      </c>
      <c r="B598" t="s">
        <v>1507</v>
      </c>
      <c r="C598">
        <v>261</v>
      </c>
      <c r="D598">
        <v>8002</v>
      </c>
      <c r="E598" t="s">
        <v>151</v>
      </c>
      <c r="F598" t="s">
        <v>229</v>
      </c>
      <c r="G598" t="s">
        <v>230</v>
      </c>
      <c r="H598">
        <v>-20</v>
      </c>
      <c r="I598">
        <f>SUMIF($D$2:D598, D598, $H$2:H598)</f>
        <v>-11</v>
      </c>
      <c r="J598" t="s">
        <v>152</v>
      </c>
      <c r="K598">
        <v>32</v>
      </c>
      <c r="L598">
        <f>ABS(Tabela4[[#This Row],[Quantidade]]*Tabela4[[#This Row],[Valor Unitario]])</f>
        <v>640</v>
      </c>
      <c r="M598" t="s">
        <v>1508</v>
      </c>
    </row>
    <row r="599" spans="1:13" hidden="1" x14ac:dyDescent="0.25">
      <c r="A599" s="17">
        <v>46218</v>
      </c>
      <c r="B599" t="s">
        <v>1539</v>
      </c>
      <c r="C599">
        <v>261</v>
      </c>
      <c r="D599">
        <v>9001</v>
      </c>
      <c r="E599" t="s">
        <v>154</v>
      </c>
      <c r="F599" t="s">
        <v>229</v>
      </c>
      <c r="G599" t="s">
        <v>230</v>
      </c>
      <c r="H599">
        <v>-78</v>
      </c>
      <c r="I599">
        <f>SUMIF($D$2:D599, D599, $H$2:H599)</f>
        <v>46</v>
      </c>
      <c r="J599" t="s">
        <v>61</v>
      </c>
      <c r="K599">
        <v>18</v>
      </c>
      <c r="L599">
        <f>ABS(Tabela4[[#This Row],[Quantidade]]*Tabela4[[#This Row],[Valor Unitario]])</f>
        <v>1404</v>
      </c>
      <c r="M599" t="s">
        <v>1540</v>
      </c>
    </row>
    <row r="600" spans="1:13" hidden="1" x14ac:dyDescent="0.25">
      <c r="A600" s="17">
        <v>46219</v>
      </c>
      <c r="B600" t="s">
        <v>483</v>
      </c>
      <c r="C600">
        <v>261</v>
      </c>
      <c r="D600">
        <v>2008</v>
      </c>
      <c r="E600" t="s">
        <v>78</v>
      </c>
      <c r="F600" t="s">
        <v>229</v>
      </c>
      <c r="G600" t="s">
        <v>230</v>
      </c>
      <c r="H600">
        <v>-70</v>
      </c>
      <c r="I600">
        <f>SUMIF($D$2:D600, D600, $H$2:H600)</f>
        <v>73</v>
      </c>
      <c r="J600" t="s">
        <v>61</v>
      </c>
      <c r="K600">
        <v>24500</v>
      </c>
      <c r="L600">
        <f>ABS(Tabela4[[#This Row],[Quantidade]]*Tabela4[[#This Row],[Valor Unitario]])</f>
        <v>1715000</v>
      </c>
      <c r="M600" t="s">
        <v>484</v>
      </c>
    </row>
    <row r="601" spans="1:13" hidden="1" x14ac:dyDescent="0.25">
      <c r="A601" s="17">
        <v>46219</v>
      </c>
      <c r="B601" t="s">
        <v>1059</v>
      </c>
      <c r="C601">
        <v>261</v>
      </c>
      <c r="D601">
        <v>5002</v>
      </c>
      <c r="E601" t="s">
        <v>119</v>
      </c>
      <c r="F601" t="s">
        <v>229</v>
      </c>
      <c r="G601" t="s">
        <v>230</v>
      </c>
      <c r="H601">
        <v>-54</v>
      </c>
      <c r="I601">
        <f>SUMIF($D$2:D601, D601, $H$2:H601)</f>
        <v>31</v>
      </c>
      <c r="J601" t="s">
        <v>61</v>
      </c>
      <c r="K601">
        <v>17800</v>
      </c>
      <c r="L601">
        <f>ABS(Tabela4[[#This Row],[Quantidade]]*Tabela4[[#This Row],[Valor Unitario]])</f>
        <v>961200</v>
      </c>
      <c r="M601" t="s">
        <v>1060</v>
      </c>
    </row>
    <row r="602" spans="1:13" hidden="1" x14ac:dyDescent="0.25">
      <c r="A602" s="17">
        <v>46219</v>
      </c>
      <c r="B602" t="s">
        <v>1091</v>
      </c>
      <c r="C602">
        <v>261</v>
      </c>
      <c r="D602">
        <v>5003</v>
      </c>
      <c r="E602" t="s">
        <v>121</v>
      </c>
      <c r="F602" t="s">
        <v>229</v>
      </c>
      <c r="G602" t="s">
        <v>230</v>
      </c>
      <c r="H602">
        <v>-52</v>
      </c>
      <c r="I602">
        <f>SUMIF($D$2:D602, D602, $H$2:H602)</f>
        <v>130</v>
      </c>
      <c r="J602" t="s">
        <v>61</v>
      </c>
      <c r="K602">
        <v>8900</v>
      </c>
      <c r="L602">
        <f>ABS(Tabela4[[#This Row],[Quantidade]]*Tabela4[[#This Row],[Valor Unitario]])</f>
        <v>462800</v>
      </c>
      <c r="M602" t="s">
        <v>1092</v>
      </c>
    </row>
    <row r="603" spans="1:13" hidden="1" x14ac:dyDescent="0.25">
      <c r="A603" s="17">
        <v>46220</v>
      </c>
      <c r="B603" t="s">
        <v>611</v>
      </c>
      <c r="C603">
        <v>261</v>
      </c>
      <c r="D603">
        <v>2012</v>
      </c>
      <c r="E603" t="s">
        <v>86</v>
      </c>
      <c r="F603" t="s">
        <v>229</v>
      </c>
      <c r="G603" t="s">
        <v>230</v>
      </c>
      <c r="H603">
        <v>-60</v>
      </c>
      <c r="I603">
        <f>SUMIF($D$2:D603, D603, $H$2:H603)</f>
        <v>43</v>
      </c>
      <c r="J603" t="s">
        <v>61</v>
      </c>
      <c r="K603">
        <v>5400</v>
      </c>
      <c r="L603">
        <f>ABS(Tabela4[[#This Row],[Quantidade]]*Tabela4[[#This Row],[Valor Unitario]])</f>
        <v>324000</v>
      </c>
      <c r="M603" t="s">
        <v>612</v>
      </c>
    </row>
    <row r="604" spans="1:13" hidden="1" x14ac:dyDescent="0.25">
      <c r="A604" s="17">
        <v>46220</v>
      </c>
      <c r="B604" t="s">
        <v>963</v>
      </c>
      <c r="C604">
        <v>261</v>
      </c>
      <c r="D604">
        <v>4001</v>
      </c>
      <c r="E604" t="s">
        <v>111</v>
      </c>
      <c r="F604" t="s">
        <v>229</v>
      </c>
      <c r="G604" t="s">
        <v>230</v>
      </c>
      <c r="H604">
        <v>-16</v>
      </c>
      <c r="I604">
        <f>SUMIF($D$2:D604, D604, $H$2:H604)</f>
        <v>54</v>
      </c>
      <c r="J604" t="s">
        <v>61</v>
      </c>
      <c r="K604">
        <v>3200</v>
      </c>
      <c r="L604">
        <f>ABS(Tabela4[[#This Row],[Quantidade]]*Tabela4[[#This Row],[Valor Unitario]])</f>
        <v>51200</v>
      </c>
      <c r="M604" t="s">
        <v>964</v>
      </c>
    </row>
    <row r="605" spans="1:13" hidden="1" x14ac:dyDescent="0.25">
      <c r="A605" s="17">
        <v>46220</v>
      </c>
      <c r="B605" t="s">
        <v>995</v>
      </c>
      <c r="C605">
        <v>261</v>
      </c>
      <c r="D605">
        <v>4002</v>
      </c>
      <c r="E605" t="s">
        <v>114</v>
      </c>
      <c r="F605" t="s">
        <v>229</v>
      </c>
      <c r="G605" t="s">
        <v>230</v>
      </c>
      <c r="H605">
        <v>-6</v>
      </c>
      <c r="I605">
        <f>SUMIF($D$2:D605, D605, $H$2:H605)</f>
        <v>70</v>
      </c>
      <c r="J605" t="s">
        <v>61</v>
      </c>
      <c r="K605">
        <v>4100</v>
      </c>
      <c r="L605">
        <f>ABS(Tabela4[[#This Row],[Quantidade]]*Tabela4[[#This Row],[Valor Unitario]])</f>
        <v>24600</v>
      </c>
      <c r="M605" t="s">
        <v>996</v>
      </c>
    </row>
    <row r="606" spans="1:13" hidden="1" x14ac:dyDescent="0.25">
      <c r="A606" s="17">
        <v>46221</v>
      </c>
      <c r="B606" t="s">
        <v>803</v>
      </c>
      <c r="C606">
        <v>261</v>
      </c>
      <c r="D606">
        <v>2361</v>
      </c>
      <c r="E606" t="s">
        <v>99</v>
      </c>
      <c r="F606" t="s">
        <v>229</v>
      </c>
      <c r="G606" t="s">
        <v>230</v>
      </c>
      <c r="H606">
        <v>-10</v>
      </c>
      <c r="I606">
        <f>SUMIF($D$2:D606, D606, $H$2:H606)</f>
        <v>24</v>
      </c>
      <c r="J606" t="s">
        <v>61</v>
      </c>
      <c r="K606">
        <v>68</v>
      </c>
      <c r="L606">
        <f>ABS(Tabela4[[#This Row],[Quantidade]]*Tabela4[[#This Row],[Valor Unitario]])</f>
        <v>680</v>
      </c>
      <c r="M606" t="s">
        <v>804</v>
      </c>
    </row>
    <row r="607" spans="1:13" hidden="1" x14ac:dyDescent="0.25">
      <c r="A607" s="17">
        <v>46221</v>
      </c>
      <c r="B607" t="s">
        <v>899</v>
      </c>
      <c r="C607">
        <v>261</v>
      </c>
      <c r="D607">
        <v>3003</v>
      </c>
      <c r="E607" t="s">
        <v>107</v>
      </c>
      <c r="F607" t="s">
        <v>229</v>
      </c>
      <c r="G607" t="s">
        <v>230</v>
      </c>
      <c r="H607">
        <v>-36</v>
      </c>
      <c r="I607">
        <f>SUMIF($D$2:D607, D607, $H$2:H607)</f>
        <v>31</v>
      </c>
      <c r="J607" t="s">
        <v>61</v>
      </c>
      <c r="K607">
        <v>2450</v>
      </c>
      <c r="L607">
        <f>ABS(Tabela4[[#This Row],[Quantidade]]*Tabela4[[#This Row],[Valor Unitario]])</f>
        <v>88200</v>
      </c>
      <c r="M607" t="s">
        <v>900</v>
      </c>
    </row>
    <row r="608" spans="1:13" hidden="1" x14ac:dyDescent="0.25">
      <c r="A608" s="17">
        <v>46221</v>
      </c>
      <c r="B608" t="s">
        <v>1603</v>
      </c>
      <c r="C608">
        <v>261</v>
      </c>
      <c r="D608">
        <v>9003</v>
      </c>
      <c r="E608" t="s">
        <v>159</v>
      </c>
      <c r="F608" t="s">
        <v>229</v>
      </c>
      <c r="G608" t="s">
        <v>230</v>
      </c>
      <c r="H608">
        <v>-29</v>
      </c>
      <c r="I608">
        <f>SUMIF($D$2:D608, D608, $H$2:H608)</f>
        <v>-52</v>
      </c>
      <c r="J608" t="s">
        <v>61</v>
      </c>
      <c r="K608">
        <v>2.2000000000000002</v>
      </c>
      <c r="L608">
        <f>ABS(Tabela4[[#This Row],[Quantidade]]*Tabela4[[#This Row],[Valor Unitario]])</f>
        <v>63.800000000000004</v>
      </c>
      <c r="M608" t="s">
        <v>1604</v>
      </c>
    </row>
    <row r="609" spans="1:13" hidden="1" x14ac:dyDescent="0.25">
      <c r="A609" s="17">
        <v>46222</v>
      </c>
      <c r="B609" t="s">
        <v>675</v>
      </c>
      <c r="C609">
        <v>261</v>
      </c>
      <c r="D609">
        <v>2357</v>
      </c>
      <c r="E609" t="s">
        <v>91</v>
      </c>
      <c r="F609" t="s">
        <v>229</v>
      </c>
      <c r="G609" t="s">
        <v>230</v>
      </c>
      <c r="H609">
        <v>-37</v>
      </c>
      <c r="I609">
        <f>SUMIF($D$2:D609, D609, $H$2:H609)</f>
        <v>86</v>
      </c>
      <c r="J609" t="s">
        <v>61</v>
      </c>
      <c r="K609">
        <v>210</v>
      </c>
      <c r="L609">
        <f>ABS(Tabela4[[#This Row],[Quantidade]]*Tabela4[[#This Row],[Valor Unitario]])</f>
        <v>7770</v>
      </c>
      <c r="M609" t="s">
        <v>676</v>
      </c>
    </row>
    <row r="610" spans="1:13" hidden="1" x14ac:dyDescent="0.25">
      <c r="A610" s="17">
        <v>46222</v>
      </c>
      <c r="B610" t="s">
        <v>771</v>
      </c>
      <c r="C610">
        <v>261</v>
      </c>
      <c r="D610">
        <v>2360</v>
      </c>
      <c r="E610" t="s">
        <v>97</v>
      </c>
      <c r="F610" t="s">
        <v>229</v>
      </c>
      <c r="G610" t="s">
        <v>230</v>
      </c>
      <c r="H610">
        <v>-12</v>
      </c>
      <c r="I610">
        <f>SUMIF($D$2:D610, D610, $H$2:H610)</f>
        <v>-19</v>
      </c>
      <c r="J610" t="s">
        <v>61</v>
      </c>
      <c r="K610">
        <v>2380</v>
      </c>
      <c r="L610">
        <f>ABS(Tabela4[[#This Row],[Quantidade]]*Tabela4[[#This Row],[Valor Unitario]])</f>
        <v>28560</v>
      </c>
      <c r="M610" t="s">
        <v>772</v>
      </c>
    </row>
    <row r="611" spans="1:13" hidden="1" x14ac:dyDescent="0.25">
      <c r="A611" s="17">
        <v>46222</v>
      </c>
      <c r="B611" t="s">
        <v>867</v>
      </c>
      <c r="C611">
        <v>261</v>
      </c>
      <c r="D611">
        <v>3002</v>
      </c>
      <c r="E611" t="s">
        <v>105</v>
      </c>
      <c r="F611" t="s">
        <v>229</v>
      </c>
      <c r="G611" t="s">
        <v>230</v>
      </c>
      <c r="H611">
        <v>-35</v>
      </c>
      <c r="I611">
        <f>SUMIF($D$2:D611, D611, $H$2:H611)</f>
        <v>-70</v>
      </c>
      <c r="J611" t="s">
        <v>61</v>
      </c>
      <c r="K611">
        <v>95</v>
      </c>
      <c r="L611">
        <f>ABS(Tabela4[[#This Row],[Quantidade]]*Tabela4[[#This Row],[Valor Unitario]])</f>
        <v>3325</v>
      </c>
      <c r="M611" t="s">
        <v>868</v>
      </c>
    </row>
    <row r="612" spans="1:13" hidden="1" x14ac:dyDescent="0.25">
      <c r="A612" s="17">
        <v>46222</v>
      </c>
      <c r="B612" t="s">
        <v>1411</v>
      </c>
      <c r="C612">
        <v>261</v>
      </c>
      <c r="D612">
        <v>7002</v>
      </c>
      <c r="E612" t="s">
        <v>143</v>
      </c>
      <c r="F612" t="s">
        <v>229</v>
      </c>
      <c r="G612" t="s">
        <v>230</v>
      </c>
      <c r="H612">
        <v>-29</v>
      </c>
      <c r="I612">
        <f>SUMIF($D$2:D612, D612, $H$2:H612)</f>
        <v>2</v>
      </c>
      <c r="J612" t="s">
        <v>61</v>
      </c>
      <c r="K612">
        <v>95</v>
      </c>
      <c r="L612">
        <f>ABS(Tabela4[[#This Row],[Quantidade]]*Tabela4[[#This Row],[Valor Unitario]])</f>
        <v>2755</v>
      </c>
      <c r="M612" t="s">
        <v>1412</v>
      </c>
    </row>
    <row r="613" spans="1:13" hidden="1" x14ac:dyDescent="0.25">
      <c r="A613" s="17">
        <v>46223</v>
      </c>
      <c r="B613" t="s">
        <v>1251</v>
      </c>
      <c r="C613">
        <v>261</v>
      </c>
      <c r="D613">
        <v>6001</v>
      </c>
      <c r="E613" t="s">
        <v>131</v>
      </c>
      <c r="F613" t="s">
        <v>229</v>
      </c>
      <c r="G613" t="s">
        <v>230</v>
      </c>
      <c r="H613">
        <v>-66</v>
      </c>
      <c r="I613">
        <f>SUMIF($D$2:D613, D613, $H$2:H613)</f>
        <v>26</v>
      </c>
      <c r="J613" t="s">
        <v>61</v>
      </c>
      <c r="K613">
        <v>15800</v>
      </c>
      <c r="L613">
        <f>ABS(Tabela4[[#This Row],[Quantidade]]*Tabela4[[#This Row],[Valor Unitario]])</f>
        <v>1042800</v>
      </c>
      <c r="M613" t="s">
        <v>1252</v>
      </c>
    </row>
    <row r="614" spans="1:13" hidden="1" x14ac:dyDescent="0.25">
      <c r="A614" s="17">
        <v>46223</v>
      </c>
      <c r="B614" t="s">
        <v>1283</v>
      </c>
      <c r="C614">
        <v>261</v>
      </c>
      <c r="D614">
        <v>6002</v>
      </c>
      <c r="E614" t="s">
        <v>134</v>
      </c>
      <c r="F614" t="s">
        <v>229</v>
      </c>
      <c r="G614" t="s">
        <v>230</v>
      </c>
      <c r="H614">
        <v>-37</v>
      </c>
      <c r="I614">
        <f>SUMIF($D$2:D614, D614, $H$2:H614)</f>
        <v>73</v>
      </c>
      <c r="J614" t="s">
        <v>61</v>
      </c>
      <c r="K614">
        <v>6900</v>
      </c>
      <c r="L614">
        <f>ABS(Tabela4[[#This Row],[Quantidade]]*Tabela4[[#This Row],[Valor Unitario]])</f>
        <v>255300</v>
      </c>
      <c r="M614" t="s">
        <v>1284</v>
      </c>
    </row>
    <row r="615" spans="1:13" hidden="1" x14ac:dyDescent="0.25">
      <c r="A615" s="17">
        <v>46223</v>
      </c>
      <c r="B615" t="s">
        <v>1667</v>
      </c>
      <c r="C615">
        <v>261</v>
      </c>
      <c r="D615">
        <v>9005</v>
      </c>
      <c r="E615" t="s">
        <v>163</v>
      </c>
      <c r="F615" t="s">
        <v>229</v>
      </c>
      <c r="G615" t="s">
        <v>230</v>
      </c>
      <c r="H615">
        <v>-76</v>
      </c>
      <c r="I615">
        <f>SUMIF($D$2:D615, D615, $H$2:H615)</f>
        <v>5</v>
      </c>
      <c r="J615" t="s">
        <v>61</v>
      </c>
      <c r="K615">
        <v>8.9</v>
      </c>
      <c r="L615">
        <f>ABS(Tabela4[[#This Row],[Quantidade]]*Tabela4[[#This Row],[Valor Unitario]])</f>
        <v>676.4</v>
      </c>
      <c r="M615" t="s">
        <v>1668</v>
      </c>
    </row>
    <row r="616" spans="1:13" hidden="1" x14ac:dyDescent="0.25">
      <c r="A616" s="17">
        <v>46224</v>
      </c>
      <c r="B616" t="s">
        <v>382</v>
      </c>
      <c r="C616">
        <v>261</v>
      </c>
      <c r="D616">
        <v>2004</v>
      </c>
      <c r="E616" t="s">
        <v>69</v>
      </c>
      <c r="F616" t="s">
        <v>229</v>
      </c>
      <c r="G616" t="s">
        <v>230</v>
      </c>
      <c r="H616">
        <v>-73</v>
      </c>
      <c r="I616">
        <f>SUMIF($D$2:D616, D616, $H$2:H616)</f>
        <v>54</v>
      </c>
      <c r="J616" t="s">
        <v>61</v>
      </c>
      <c r="K616">
        <v>11800</v>
      </c>
      <c r="L616">
        <f>ABS(Tabela4[[#This Row],[Quantidade]]*Tabela4[[#This Row],[Valor Unitario]])</f>
        <v>861400</v>
      </c>
      <c r="M616" t="s">
        <v>292</v>
      </c>
    </row>
    <row r="617" spans="1:13" hidden="1" x14ac:dyDescent="0.25">
      <c r="A617" s="17">
        <v>46224</v>
      </c>
      <c r="B617" t="s">
        <v>398</v>
      </c>
      <c r="C617">
        <v>261</v>
      </c>
      <c r="D617">
        <v>2005</v>
      </c>
      <c r="E617" t="s">
        <v>71</v>
      </c>
      <c r="F617" t="s">
        <v>229</v>
      </c>
      <c r="G617" t="s">
        <v>230</v>
      </c>
      <c r="H617">
        <v>-52</v>
      </c>
      <c r="I617">
        <f>SUMIF($D$2:D617, D617, $H$2:H617)</f>
        <v>26</v>
      </c>
      <c r="J617" t="s">
        <v>61</v>
      </c>
      <c r="K617">
        <v>3450</v>
      </c>
      <c r="L617">
        <f>ABS(Tabela4[[#This Row],[Quantidade]]*Tabela4[[#This Row],[Valor Unitario]])</f>
        <v>179400</v>
      </c>
      <c r="M617" t="s">
        <v>308</v>
      </c>
    </row>
    <row r="618" spans="1:13" hidden="1" x14ac:dyDescent="0.25">
      <c r="A618" s="17">
        <v>46224</v>
      </c>
      <c r="B618" t="s">
        <v>419</v>
      </c>
      <c r="C618">
        <v>261</v>
      </c>
      <c r="D618">
        <v>2006</v>
      </c>
      <c r="E618" t="s">
        <v>74</v>
      </c>
      <c r="F618" t="s">
        <v>229</v>
      </c>
      <c r="G618" t="s">
        <v>230</v>
      </c>
      <c r="H618">
        <v>-62</v>
      </c>
      <c r="I618">
        <f>SUMIF($D$2:D618, D618, $H$2:H618)</f>
        <v>66</v>
      </c>
      <c r="J618" t="s">
        <v>61</v>
      </c>
      <c r="K618">
        <v>2870</v>
      </c>
      <c r="L618">
        <f>ABS(Tabela4[[#This Row],[Quantidade]]*Tabela4[[#This Row],[Valor Unitario]])</f>
        <v>177940</v>
      </c>
      <c r="M618" t="s">
        <v>420</v>
      </c>
    </row>
    <row r="619" spans="1:13" hidden="1" x14ac:dyDescent="0.25">
      <c r="A619" s="17">
        <v>46224</v>
      </c>
      <c r="B619" t="s">
        <v>451</v>
      </c>
      <c r="C619">
        <v>261</v>
      </c>
      <c r="D619">
        <v>2007</v>
      </c>
      <c r="E619" t="s">
        <v>76</v>
      </c>
      <c r="F619" t="s">
        <v>229</v>
      </c>
      <c r="G619" t="s">
        <v>230</v>
      </c>
      <c r="H619">
        <v>-2</v>
      </c>
      <c r="I619">
        <f>SUMIF($D$2:D619, D619, $H$2:H619)</f>
        <v>41</v>
      </c>
      <c r="J619" t="s">
        <v>61</v>
      </c>
      <c r="K619">
        <v>1980</v>
      </c>
      <c r="L619">
        <f>ABS(Tabela4[[#This Row],[Quantidade]]*Tabela4[[#This Row],[Valor Unitario]])</f>
        <v>3960</v>
      </c>
      <c r="M619" t="s">
        <v>452</v>
      </c>
    </row>
    <row r="620" spans="1:13" hidden="1" x14ac:dyDescent="0.25">
      <c r="A620" s="17">
        <v>46225</v>
      </c>
      <c r="B620" t="s">
        <v>547</v>
      </c>
      <c r="C620">
        <v>261</v>
      </c>
      <c r="D620">
        <v>2010</v>
      </c>
      <c r="E620" t="s">
        <v>82</v>
      </c>
      <c r="F620" t="s">
        <v>229</v>
      </c>
      <c r="G620" t="s">
        <v>230</v>
      </c>
      <c r="H620">
        <v>-49</v>
      </c>
      <c r="I620">
        <f>SUMIF($D$2:D620, D620, $H$2:H620)</f>
        <v>-5</v>
      </c>
      <c r="J620" t="s">
        <v>61</v>
      </c>
      <c r="K620">
        <v>2150</v>
      </c>
      <c r="L620">
        <f>ABS(Tabela4[[#This Row],[Quantidade]]*Tabela4[[#This Row],[Valor Unitario]])</f>
        <v>105350</v>
      </c>
      <c r="M620" t="s">
        <v>548</v>
      </c>
    </row>
    <row r="621" spans="1:13" hidden="1" x14ac:dyDescent="0.25">
      <c r="A621" s="17">
        <v>46225</v>
      </c>
      <c r="B621" t="s">
        <v>1475</v>
      </c>
      <c r="C621">
        <v>261</v>
      </c>
      <c r="D621">
        <v>8001</v>
      </c>
      <c r="E621" t="s">
        <v>147</v>
      </c>
      <c r="F621" t="s">
        <v>229</v>
      </c>
      <c r="G621" t="s">
        <v>230</v>
      </c>
      <c r="H621">
        <v>-15</v>
      </c>
      <c r="I621">
        <f>SUMIF($D$2:D621, D621, $H$2:H621)</f>
        <v>61</v>
      </c>
      <c r="J621" t="s">
        <v>149</v>
      </c>
      <c r="K621">
        <v>28</v>
      </c>
      <c r="L621">
        <f>ABS(Tabela4[[#This Row],[Quantidade]]*Tabela4[[#This Row],[Valor Unitario]])</f>
        <v>420</v>
      </c>
      <c r="M621" t="s">
        <v>1476</v>
      </c>
    </row>
    <row r="622" spans="1:13" hidden="1" x14ac:dyDescent="0.25">
      <c r="A622" s="17">
        <v>46225</v>
      </c>
      <c r="B622" t="s">
        <v>1571</v>
      </c>
      <c r="C622">
        <v>261</v>
      </c>
      <c r="D622">
        <v>9002</v>
      </c>
      <c r="E622" t="s">
        <v>157</v>
      </c>
      <c r="F622" t="s">
        <v>229</v>
      </c>
      <c r="G622" t="s">
        <v>230</v>
      </c>
      <c r="H622">
        <v>-54</v>
      </c>
      <c r="I622">
        <f>SUMIF($D$2:D622, D622, $H$2:H622)</f>
        <v>149</v>
      </c>
      <c r="J622" t="s">
        <v>61</v>
      </c>
      <c r="K622">
        <v>6.5</v>
      </c>
      <c r="L622">
        <f>ABS(Tabela4[[#This Row],[Quantidade]]*Tabela4[[#This Row],[Valor Unitario]])</f>
        <v>351</v>
      </c>
      <c r="M622" t="s">
        <v>1572</v>
      </c>
    </row>
    <row r="623" spans="1:13" hidden="1" x14ac:dyDescent="0.25">
      <c r="A623" s="17">
        <v>46227</v>
      </c>
      <c r="B623" t="s">
        <v>515</v>
      </c>
      <c r="C623">
        <v>261</v>
      </c>
      <c r="D623">
        <v>2009</v>
      </c>
      <c r="E623" t="s">
        <v>80</v>
      </c>
      <c r="F623" t="s">
        <v>229</v>
      </c>
      <c r="G623" t="s">
        <v>230</v>
      </c>
      <c r="H623">
        <v>-45</v>
      </c>
      <c r="I623">
        <f>SUMIF($D$2:D623, D623, $H$2:H623)</f>
        <v>98</v>
      </c>
      <c r="J623" t="s">
        <v>61</v>
      </c>
      <c r="K623">
        <v>1650</v>
      </c>
      <c r="L623">
        <f>ABS(Tabela4[[#This Row],[Quantidade]]*Tabela4[[#This Row],[Valor Unitario]])</f>
        <v>74250</v>
      </c>
      <c r="M623" t="s">
        <v>516</v>
      </c>
    </row>
    <row r="624" spans="1:13" hidden="1" x14ac:dyDescent="0.25">
      <c r="A624" s="17">
        <v>46227</v>
      </c>
      <c r="B624" t="s">
        <v>643</v>
      </c>
      <c r="C624">
        <v>261</v>
      </c>
      <c r="D624">
        <v>2356</v>
      </c>
      <c r="E624" t="s">
        <v>88</v>
      </c>
      <c r="F624" t="s">
        <v>229</v>
      </c>
      <c r="G624" t="s">
        <v>230</v>
      </c>
      <c r="H624">
        <v>-26</v>
      </c>
      <c r="I624">
        <f>SUMIF($D$2:D624, D624, $H$2:H624)</f>
        <v>82</v>
      </c>
      <c r="J624" t="s">
        <v>61</v>
      </c>
      <c r="K624">
        <v>145</v>
      </c>
      <c r="L624">
        <f>ABS(Tabela4[[#This Row],[Quantidade]]*Tabela4[[#This Row],[Valor Unitario]])</f>
        <v>3770</v>
      </c>
      <c r="M624" t="s">
        <v>644</v>
      </c>
    </row>
    <row r="625" spans="1:13" hidden="1" x14ac:dyDescent="0.25">
      <c r="A625" s="17">
        <v>46230</v>
      </c>
      <c r="B625" t="s">
        <v>1347</v>
      </c>
      <c r="C625">
        <v>261</v>
      </c>
      <c r="D625">
        <v>6004</v>
      </c>
      <c r="E625" t="s">
        <v>138</v>
      </c>
      <c r="F625" t="s">
        <v>229</v>
      </c>
      <c r="G625" t="s">
        <v>230</v>
      </c>
      <c r="H625">
        <v>-42</v>
      </c>
      <c r="I625">
        <f>SUMIF($D$2:D625, D625, $H$2:H625)</f>
        <v>319</v>
      </c>
      <c r="J625" t="s">
        <v>61</v>
      </c>
      <c r="K625">
        <v>2650</v>
      </c>
      <c r="L625">
        <f>ABS(Tabela4[[#This Row],[Quantidade]]*Tabela4[[#This Row],[Valor Unitario]])</f>
        <v>111300</v>
      </c>
      <c r="M625" t="s">
        <v>1348</v>
      </c>
    </row>
    <row r="626" spans="1:13" hidden="1" x14ac:dyDescent="0.25">
      <c r="A626" s="17">
        <v>46231</v>
      </c>
      <c r="B626" t="s">
        <v>579</v>
      </c>
      <c r="C626">
        <v>261</v>
      </c>
      <c r="D626">
        <v>2011</v>
      </c>
      <c r="E626" t="s">
        <v>84</v>
      </c>
      <c r="F626" t="s">
        <v>229</v>
      </c>
      <c r="G626" t="s">
        <v>230</v>
      </c>
      <c r="H626">
        <v>-30</v>
      </c>
      <c r="I626">
        <f>SUMIF($D$2:D626, D626, $H$2:H626)</f>
        <v>-41</v>
      </c>
      <c r="J626" t="s">
        <v>61</v>
      </c>
      <c r="K626">
        <v>9800</v>
      </c>
      <c r="L626">
        <f>ABS(Tabela4[[#This Row],[Quantidade]]*Tabela4[[#This Row],[Valor Unitario]])</f>
        <v>294000</v>
      </c>
      <c r="M626" t="s">
        <v>580</v>
      </c>
    </row>
    <row r="627" spans="1:13" hidden="1" x14ac:dyDescent="0.25">
      <c r="A627" s="17">
        <v>46231</v>
      </c>
      <c r="B627" t="s">
        <v>1155</v>
      </c>
      <c r="C627">
        <v>261</v>
      </c>
      <c r="D627">
        <v>5005</v>
      </c>
      <c r="E627" t="s">
        <v>125</v>
      </c>
      <c r="F627" t="s">
        <v>229</v>
      </c>
      <c r="G627" t="s">
        <v>230</v>
      </c>
      <c r="H627">
        <v>-9</v>
      </c>
      <c r="I627">
        <f>SUMIF($D$2:D627, D627, $H$2:H627)</f>
        <v>140</v>
      </c>
      <c r="J627" t="s">
        <v>61</v>
      </c>
      <c r="K627">
        <v>780</v>
      </c>
      <c r="L627">
        <f>ABS(Tabela4[[#This Row],[Quantidade]]*Tabela4[[#This Row],[Valor Unitario]])</f>
        <v>7020</v>
      </c>
      <c r="M627" t="s">
        <v>1156</v>
      </c>
    </row>
    <row r="628" spans="1:13" hidden="1" x14ac:dyDescent="0.25">
      <c r="A628" s="17">
        <v>46231</v>
      </c>
      <c r="B628" t="s">
        <v>1187</v>
      </c>
      <c r="C628">
        <v>261</v>
      </c>
      <c r="D628">
        <v>5006</v>
      </c>
      <c r="E628" t="s">
        <v>127</v>
      </c>
      <c r="F628" t="s">
        <v>229</v>
      </c>
      <c r="G628" t="s">
        <v>230</v>
      </c>
      <c r="H628">
        <v>-59</v>
      </c>
      <c r="I628">
        <f>SUMIF($D$2:D628, D628, $H$2:H628)</f>
        <v>20</v>
      </c>
      <c r="J628" t="s">
        <v>103</v>
      </c>
      <c r="K628">
        <v>22</v>
      </c>
      <c r="L628">
        <f>ABS(Tabela4[[#This Row],[Quantidade]]*Tabela4[[#This Row],[Valor Unitario]])</f>
        <v>1298</v>
      </c>
      <c r="M628" t="s">
        <v>1188</v>
      </c>
    </row>
    <row r="629" spans="1:13" hidden="1" x14ac:dyDescent="0.25">
      <c r="A629" s="17">
        <v>46232</v>
      </c>
      <c r="B629" t="s">
        <v>1219</v>
      </c>
      <c r="C629">
        <v>261</v>
      </c>
      <c r="D629">
        <v>5007</v>
      </c>
      <c r="E629" t="s">
        <v>129</v>
      </c>
      <c r="F629" t="s">
        <v>229</v>
      </c>
      <c r="G629" t="s">
        <v>230</v>
      </c>
      <c r="H629">
        <v>-8</v>
      </c>
      <c r="I629">
        <f>SUMIF($D$2:D629, D629, $H$2:H629)</f>
        <v>-45</v>
      </c>
      <c r="J629" t="s">
        <v>61</v>
      </c>
      <c r="K629">
        <v>340</v>
      </c>
      <c r="L629">
        <f>ABS(Tabela4[[#This Row],[Quantidade]]*Tabela4[[#This Row],[Valor Unitario]])</f>
        <v>2720</v>
      </c>
      <c r="M629" t="s">
        <v>1220</v>
      </c>
    </row>
    <row r="630" spans="1:13" hidden="1" x14ac:dyDescent="0.25">
      <c r="A630" s="17">
        <v>46232</v>
      </c>
      <c r="B630" t="s">
        <v>1379</v>
      </c>
      <c r="C630">
        <v>261</v>
      </c>
      <c r="D630">
        <v>7001</v>
      </c>
      <c r="E630" t="s">
        <v>140</v>
      </c>
      <c r="F630" t="s">
        <v>229</v>
      </c>
      <c r="G630" t="s">
        <v>230</v>
      </c>
      <c r="H630">
        <v>-29</v>
      </c>
      <c r="I630">
        <f>SUMIF($D$2:D630, D630, $H$2:H630)</f>
        <v>3</v>
      </c>
      <c r="J630" t="s">
        <v>61</v>
      </c>
      <c r="K630">
        <v>210</v>
      </c>
      <c r="L630">
        <f>ABS(Tabela4[[#This Row],[Quantidade]]*Tabela4[[#This Row],[Valor Unitario]])</f>
        <v>6090</v>
      </c>
      <c r="M630" t="s">
        <v>1380</v>
      </c>
    </row>
    <row r="631" spans="1:13" hidden="1" x14ac:dyDescent="0.25">
      <c r="A631" s="17">
        <v>46233</v>
      </c>
      <c r="B631" t="s">
        <v>707</v>
      </c>
      <c r="C631">
        <v>261</v>
      </c>
      <c r="D631">
        <v>2358</v>
      </c>
      <c r="E631" t="s">
        <v>93</v>
      </c>
      <c r="F631" t="s">
        <v>229</v>
      </c>
      <c r="G631" t="s">
        <v>230</v>
      </c>
      <c r="H631">
        <v>-89</v>
      </c>
      <c r="I631">
        <f>SUMIF($D$2:D631, D631, $H$2:H631)</f>
        <v>110</v>
      </c>
      <c r="J631" t="s">
        <v>61</v>
      </c>
      <c r="K631">
        <v>890</v>
      </c>
      <c r="L631">
        <f>ABS(Tabela4[[#This Row],[Quantidade]]*Tabela4[[#This Row],[Valor Unitario]])</f>
        <v>79210</v>
      </c>
      <c r="M631" t="s">
        <v>708</v>
      </c>
    </row>
    <row r="632" spans="1:13" hidden="1" x14ac:dyDescent="0.25">
      <c r="A632" s="17">
        <v>46233</v>
      </c>
      <c r="B632" t="s">
        <v>1027</v>
      </c>
      <c r="C632">
        <v>261</v>
      </c>
      <c r="D632">
        <v>5001</v>
      </c>
      <c r="E632" t="s">
        <v>116</v>
      </c>
      <c r="F632" t="s">
        <v>229</v>
      </c>
      <c r="G632" t="s">
        <v>230</v>
      </c>
      <c r="H632">
        <v>-55</v>
      </c>
      <c r="I632">
        <f>SUMIF($D$2:D632, D632, $H$2:H632)</f>
        <v>62</v>
      </c>
      <c r="J632" t="s">
        <v>61</v>
      </c>
      <c r="K632">
        <v>32500</v>
      </c>
      <c r="L632">
        <f>ABS(Tabela4[[#This Row],[Quantidade]]*Tabela4[[#This Row],[Valor Unitario]])</f>
        <v>1787500</v>
      </c>
      <c r="M632" t="s">
        <v>1028</v>
      </c>
    </row>
    <row r="633" spans="1:13" hidden="1" x14ac:dyDescent="0.25">
      <c r="A633" s="17">
        <v>46233</v>
      </c>
      <c r="B633" t="s">
        <v>1123</v>
      </c>
      <c r="C633">
        <v>261</v>
      </c>
      <c r="D633">
        <v>5004</v>
      </c>
      <c r="E633" t="s">
        <v>123</v>
      </c>
      <c r="F633" t="s">
        <v>229</v>
      </c>
      <c r="G633" t="s">
        <v>230</v>
      </c>
      <c r="H633">
        <v>-29</v>
      </c>
      <c r="I633">
        <f>SUMIF($D$2:D633, D633, $H$2:H633)</f>
        <v>54</v>
      </c>
      <c r="J633" t="s">
        <v>61</v>
      </c>
      <c r="K633">
        <v>1350</v>
      </c>
      <c r="L633">
        <f>ABS(Tabela4[[#This Row],[Quantidade]]*Tabela4[[#This Row],[Valor Unitario]])</f>
        <v>39150</v>
      </c>
      <c r="M633" t="s">
        <v>1124</v>
      </c>
    </row>
    <row r="634" spans="1:13" hidden="1" x14ac:dyDescent="0.25">
      <c r="A634" s="17">
        <v>46234</v>
      </c>
      <c r="B634" t="s">
        <v>835</v>
      </c>
      <c r="C634">
        <v>261</v>
      </c>
      <c r="D634">
        <v>3001</v>
      </c>
      <c r="E634" t="s">
        <v>101</v>
      </c>
      <c r="F634" t="s">
        <v>229</v>
      </c>
      <c r="G634" t="s">
        <v>230</v>
      </c>
      <c r="H634">
        <v>-100</v>
      </c>
      <c r="I634">
        <f>SUMIF($D$2:D634, D634, $H$2:H634)</f>
        <v>157</v>
      </c>
      <c r="J634" t="s">
        <v>103</v>
      </c>
      <c r="K634">
        <v>320</v>
      </c>
      <c r="L634">
        <f>ABS(Tabela4[[#This Row],[Quantidade]]*Tabela4[[#This Row],[Valor Unitario]])</f>
        <v>32000</v>
      </c>
      <c r="M634" t="s">
        <v>836</v>
      </c>
    </row>
    <row r="635" spans="1:13" hidden="1" x14ac:dyDescent="0.25">
      <c r="A635" s="17">
        <v>46234</v>
      </c>
      <c r="B635" t="s">
        <v>931</v>
      </c>
      <c r="C635">
        <v>261</v>
      </c>
      <c r="D635">
        <v>3004</v>
      </c>
      <c r="E635" t="s">
        <v>109</v>
      </c>
      <c r="F635" t="s">
        <v>229</v>
      </c>
      <c r="G635" t="s">
        <v>230</v>
      </c>
      <c r="H635">
        <v>-25</v>
      </c>
      <c r="I635">
        <f>SUMIF($D$2:D635, D635, $H$2:H635)</f>
        <v>236</v>
      </c>
      <c r="J635" t="s">
        <v>61</v>
      </c>
      <c r="K635">
        <v>2180</v>
      </c>
      <c r="L635">
        <f>ABS(Tabela4[[#This Row],[Quantidade]]*Tabela4[[#This Row],[Valor Unitario]])</f>
        <v>54500</v>
      </c>
      <c r="M635" t="s">
        <v>932</v>
      </c>
    </row>
    <row r="636" spans="1:13" hidden="1" x14ac:dyDescent="0.25">
      <c r="A636" s="17">
        <v>46234</v>
      </c>
      <c r="B636" t="s">
        <v>1315</v>
      </c>
      <c r="C636">
        <v>261</v>
      </c>
      <c r="D636">
        <v>6003</v>
      </c>
      <c r="E636" t="s">
        <v>136</v>
      </c>
      <c r="F636" t="s">
        <v>229</v>
      </c>
      <c r="G636" t="s">
        <v>230</v>
      </c>
      <c r="H636">
        <v>-36</v>
      </c>
      <c r="I636">
        <f>SUMIF($D$2:D636, D636, $H$2:H636)</f>
        <v>28</v>
      </c>
      <c r="J636" t="s">
        <v>103</v>
      </c>
      <c r="K636">
        <v>85</v>
      </c>
      <c r="L636">
        <f>ABS(Tabela4[[#This Row],[Quantidade]]*Tabela4[[#This Row],[Valor Unitario]])</f>
        <v>3060</v>
      </c>
      <c r="M636" t="s">
        <v>1316</v>
      </c>
    </row>
    <row r="637" spans="1:13" hidden="1" x14ac:dyDescent="0.25">
      <c r="A637" s="17">
        <v>46234</v>
      </c>
      <c r="B637" t="s">
        <v>1635</v>
      </c>
      <c r="C637">
        <v>261</v>
      </c>
      <c r="D637">
        <v>9004</v>
      </c>
      <c r="E637" t="s">
        <v>161</v>
      </c>
      <c r="F637" t="s">
        <v>229</v>
      </c>
      <c r="G637" t="s">
        <v>230</v>
      </c>
      <c r="H637">
        <v>-81</v>
      </c>
      <c r="I637">
        <f>SUMIF($D$2:D637, D637, $H$2:H637)</f>
        <v>112</v>
      </c>
      <c r="J637" t="s">
        <v>61</v>
      </c>
      <c r="K637">
        <v>45</v>
      </c>
      <c r="L637">
        <f>ABS(Tabela4[[#This Row],[Quantidade]]*Tabela4[[#This Row],[Valor Unitario]])</f>
        <v>3645</v>
      </c>
      <c r="M637" t="s">
        <v>1636</v>
      </c>
    </row>
    <row r="638" spans="1:13" hidden="1" x14ac:dyDescent="0.25">
      <c r="A638" s="17">
        <v>46235</v>
      </c>
      <c r="B638" t="s">
        <v>421</v>
      </c>
      <c r="C638">
        <v>101</v>
      </c>
      <c r="D638">
        <v>2006</v>
      </c>
      <c r="E638" t="s">
        <v>74</v>
      </c>
      <c r="F638" t="s">
        <v>229</v>
      </c>
      <c r="G638" t="s">
        <v>230</v>
      </c>
      <c r="H638">
        <v>1</v>
      </c>
      <c r="I638">
        <f>SUMIF($D$2:D638, D638, $H$2:H638)</f>
        <v>67</v>
      </c>
      <c r="J638" t="s">
        <v>61</v>
      </c>
      <c r="K638">
        <v>2870</v>
      </c>
      <c r="L638">
        <f>ABS(Tabela4[[#This Row],[Quantidade]]*Tabela4[[#This Row],[Valor Unitario]])</f>
        <v>2870</v>
      </c>
      <c r="M638" t="s">
        <v>422</v>
      </c>
    </row>
    <row r="639" spans="1:13" hidden="1" x14ac:dyDescent="0.25">
      <c r="A639" s="17">
        <v>46235</v>
      </c>
      <c r="B639" t="s">
        <v>613</v>
      </c>
      <c r="C639">
        <v>101</v>
      </c>
      <c r="D639">
        <v>2012</v>
      </c>
      <c r="E639" t="s">
        <v>86</v>
      </c>
      <c r="F639" t="s">
        <v>229</v>
      </c>
      <c r="G639" t="s">
        <v>230</v>
      </c>
      <c r="H639">
        <v>63</v>
      </c>
      <c r="I639">
        <f>SUMIF($D$2:D639, D639, $H$2:H639)</f>
        <v>106</v>
      </c>
      <c r="J639" t="s">
        <v>61</v>
      </c>
      <c r="K639">
        <v>5400</v>
      </c>
      <c r="L639">
        <f>ABS(Tabela4[[#This Row],[Quantidade]]*Tabela4[[#This Row],[Valor Unitario]])</f>
        <v>340200</v>
      </c>
      <c r="M639" t="s">
        <v>614</v>
      </c>
    </row>
    <row r="640" spans="1:13" hidden="1" x14ac:dyDescent="0.25">
      <c r="A640" s="17">
        <v>46235</v>
      </c>
      <c r="B640" t="s">
        <v>1381</v>
      </c>
      <c r="C640">
        <v>101</v>
      </c>
      <c r="D640">
        <v>7001</v>
      </c>
      <c r="E640" t="s">
        <v>140</v>
      </c>
      <c r="F640" t="s">
        <v>229</v>
      </c>
      <c r="G640" t="s">
        <v>230</v>
      </c>
      <c r="H640">
        <v>94</v>
      </c>
      <c r="I640">
        <f>SUMIF($D$2:D640, D640, $H$2:H640)</f>
        <v>97</v>
      </c>
      <c r="J640" t="s">
        <v>61</v>
      </c>
      <c r="K640">
        <v>210</v>
      </c>
      <c r="L640">
        <f>ABS(Tabela4[[#This Row],[Quantidade]]*Tabela4[[#This Row],[Valor Unitario]])</f>
        <v>19740</v>
      </c>
      <c r="M640" t="s">
        <v>1382</v>
      </c>
    </row>
    <row r="641" spans="1:13" hidden="1" x14ac:dyDescent="0.25">
      <c r="A641" s="17">
        <v>46236</v>
      </c>
      <c r="B641" t="s">
        <v>997</v>
      </c>
      <c r="C641">
        <v>101</v>
      </c>
      <c r="D641">
        <v>4002</v>
      </c>
      <c r="E641" t="s">
        <v>114</v>
      </c>
      <c r="F641" t="s">
        <v>229</v>
      </c>
      <c r="G641" t="s">
        <v>230</v>
      </c>
      <c r="H641">
        <v>69</v>
      </c>
      <c r="I641">
        <f>SUMIF($D$2:D641, D641, $H$2:H641)</f>
        <v>139</v>
      </c>
      <c r="J641" t="s">
        <v>61</v>
      </c>
      <c r="K641">
        <v>4100</v>
      </c>
      <c r="L641">
        <f>ABS(Tabela4[[#This Row],[Quantidade]]*Tabela4[[#This Row],[Valor Unitario]])</f>
        <v>282900</v>
      </c>
      <c r="M641" t="s">
        <v>998</v>
      </c>
    </row>
    <row r="642" spans="1:13" hidden="1" x14ac:dyDescent="0.25">
      <c r="A642" s="17">
        <v>46237</v>
      </c>
      <c r="B642" t="s">
        <v>453</v>
      </c>
      <c r="C642">
        <v>101</v>
      </c>
      <c r="D642">
        <v>2007</v>
      </c>
      <c r="E642" t="s">
        <v>76</v>
      </c>
      <c r="F642" t="s">
        <v>229</v>
      </c>
      <c r="G642" t="s">
        <v>230</v>
      </c>
      <c r="H642">
        <v>56</v>
      </c>
      <c r="I642">
        <f>SUMIF($D$2:D642, D642, $H$2:H642)</f>
        <v>97</v>
      </c>
      <c r="J642" t="s">
        <v>61</v>
      </c>
      <c r="K642">
        <v>1980</v>
      </c>
      <c r="L642">
        <f>ABS(Tabela4[[#This Row],[Quantidade]]*Tabela4[[#This Row],[Valor Unitario]])</f>
        <v>110880</v>
      </c>
      <c r="M642" t="s">
        <v>454</v>
      </c>
    </row>
    <row r="643" spans="1:13" hidden="1" x14ac:dyDescent="0.25">
      <c r="A643" s="17">
        <v>46237</v>
      </c>
      <c r="B643" t="s">
        <v>645</v>
      </c>
      <c r="C643">
        <v>101</v>
      </c>
      <c r="D643">
        <v>2356</v>
      </c>
      <c r="E643" t="s">
        <v>88</v>
      </c>
      <c r="F643" t="s">
        <v>229</v>
      </c>
      <c r="G643" t="s">
        <v>230</v>
      </c>
      <c r="H643">
        <v>50</v>
      </c>
      <c r="I643">
        <f>SUMIF($D$2:D643, D643, $H$2:H643)</f>
        <v>132</v>
      </c>
      <c r="J643" t="s">
        <v>61</v>
      </c>
      <c r="K643">
        <v>145</v>
      </c>
      <c r="L643">
        <f>ABS(Tabela4[[#This Row],[Quantidade]]*Tabela4[[#This Row],[Valor Unitario]])</f>
        <v>7250</v>
      </c>
      <c r="M643" t="s">
        <v>646</v>
      </c>
    </row>
    <row r="644" spans="1:13" hidden="1" x14ac:dyDescent="0.25">
      <c r="A644" s="17">
        <v>46237</v>
      </c>
      <c r="B644" t="s">
        <v>773</v>
      </c>
      <c r="C644">
        <v>101</v>
      </c>
      <c r="D644">
        <v>2360</v>
      </c>
      <c r="E644" t="s">
        <v>97</v>
      </c>
      <c r="F644" t="s">
        <v>229</v>
      </c>
      <c r="G644" t="s">
        <v>230</v>
      </c>
      <c r="H644">
        <v>65</v>
      </c>
      <c r="I644">
        <f>SUMIF($D$2:D644, D644, $H$2:H644)</f>
        <v>46</v>
      </c>
      <c r="J644" t="s">
        <v>61</v>
      </c>
      <c r="K644">
        <v>2380</v>
      </c>
      <c r="L644">
        <f>ABS(Tabela4[[#This Row],[Quantidade]]*Tabela4[[#This Row],[Valor Unitario]])</f>
        <v>154700</v>
      </c>
      <c r="M644" t="s">
        <v>774</v>
      </c>
    </row>
    <row r="645" spans="1:13" hidden="1" x14ac:dyDescent="0.25">
      <c r="A645" s="17">
        <v>46237</v>
      </c>
      <c r="B645" t="s">
        <v>1541</v>
      </c>
      <c r="C645">
        <v>101</v>
      </c>
      <c r="D645">
        <v>9001</v>
      </c>
      <c r="E645" t="s">
        <v>154</v>
      </c>
      <c r="F645" t="s">
        <v>229</v>
      </c>
      <c r="G645" t="s">
        <v>230</v>
      </c>
      <c r="H645">
        <v>47</v>
      </c>
      <c r="I645">
        <f>SUMIF($D$2:D645, D645, $H$2:H645)</f>
        <v>93</v>
      </c>
      <c r="J645" t="s">
        <v>61</v>
      </c>
      <c r="K645">
        <v>18</v>
      </c>
      <c r="L645">
        <f>ABS(Tabela4[[#This Row],[Quantidade]]*Tabela4[[#This Row],[Valor Unitario]])</f>
        <v>846</v>
      </c>
      <c r="M645" t="s">
        <v>1542</v>
      </c>
    </row>
    <row r="646" spans="1:13" hidden="1" x14ac:dyDescent="0.25">
      <c r="A646" s="17">
        <v>46238</v>
      </c>
      <c r="B646" t="s">
        <v>1253</v>
      </c>
      <c r="C646">
        <v>101</v>
      </c>
      <c r="D646">
        <v>6001</v>
      </c>
      <c r="E646" t="s">
        <v>131</v>
      </c>
      <c r="F646" t="s">
        <v>229</v>
      </c>
      <c r="G646" t="s">
        <v>230</v>
      </c>
      <c r="H646">
        <v>92</v>
      </c>
      <c r="I646">
        <f>SUMIF($D$2:D646, D646, $H$2:H646)</f>
        <v>118</v>
      </c>
      <c r="J646" t="s">
        <v>61</v>
      </c>
      <c r="K646">
        <v>15800</v>
      </c>
      <c r="L646">
        <f>ABS(Tabela4[[#This Row],[Quantidade]]*Tabela4[[#This Row],[Valor Unitario]])</f>
        <v>1453600</v>
      </c>
      <c r="M646" t="s">
        <v>1254</v>
      </c>
    </row>
    <row r="647" spans="1:13" hidden="1" x14ac:dyDescent="0.25">
      <c r="A647" s="17">
        <v>46238</v>
      </c>
      <c r="B647" t="s">
        <v>1413</v>
      </c>
      <c r="C647">
        <v>101</v>
      </c>
      <c r="D647">
        <v>7002</v>
      </c>
      <c r="E647" t="s">
        <v>143</v>
      </c>
      <c r="F647" t="s">
        <v>229</v>
      </c>
      <c r="G647" t="s">
        <v>230</v>
      </c>
      <c r="H647">
        <v>76</v>
      </c>
      <c r="I647">
        <f>SUMIF($D$2:D647, D647, $H$2:H647)</f>
        <v>78</v>
      </c>
      <c r="J647" t="s">
        <v>61</v>
      </c>
      <c r="K647">
        <v>95</v>
      </c>
      <c r="L647">
        <f>ABS(Tabela4[[#This Row],[Quantidade]]*Tabela4[[#This Row],[Valor Unitario]])</f>
        <v>7220</v>
      </c>
      <c r="M647" t="s">
        <v>1414</v>
      </c>
    </row>
    <row r="648" spans="1:13" x14ac:dyDescent="0.25">
      <c r="A648" s="17">
        <v>46239</v>
      </c>
      <c r="B648" t="s">
        <v>741</v>
      </c>
      <c r="C648">
        <v>101</v>
      </c>
      <c r="D648">
        <v>2359</v>
      </c>
      <c r="E648" t="s">
        <v>95</v>
      </c>
      <c r="F648" t="s">
        <v>229</v>
      </c>
      <c r="G648" t="s">
        <v>230</v>
      </c>
      <c r="H648">
        <v>23</v>
      </c>
      <c r="I648">
        <f>SUMIF($D$2:D648, D648, $H$2:H648)</f>
        <v>101</v>
      </c>
      <c r="J648" t="s">
        <v>61</v>
      </c>
      <c r="K648">
        <v>1240</v>
      </c>
      <c r="L648">
        <f>ABS(Tabela4[[#This Row],[Quantidade]]*Tabela4[[#This Row],[Valor Unitario]])</f>
        <v>28520</v>
      </c>
      <c r="M648" t="s">
        <v>742</v>
      </c>
    </row>
    <row r="649" spans="1:13" hidden="1" x14ac:dyDescent="0.25">
      <c r="A649" s="17">
        <v>46239</v>
      </c>
      <c r="B649" t="s">
        <v>805</v>
      </c>
      <c r="C649">
        <v>101</v>
      </c>
      <c r="D649">
        <v>2361</v>
      </c>
      <c r="E649" t="s">
        <v>99</v>
      </c>
      <c r="F649" t="s">
        <v>229</v>
      </c>
      <c r="G649" t="s">
        <v>230</v>
      </c>
      <c r="H649">
        <v>73</v>
      </c>
      <c r="I649">
        <f>SUMIF($D$2:D649, D649, $H$2:H649)</f>
        <v>97</v>
      </c>
      <c r="J649" t="s">
        <v>61</v>
      </c>
      <c r="K649">
        <v>68</v>
      </c>
      <c r="L649">
        <f>ABS(Tabela4[[#This Row],[Quantidade]]*Tabela4[[#This Row],[Valor Unitario]])</f>
        <v>4964</v>
      </c>
      <c r="M649" t="s">
        <v>806</v>
      </c>
    </row>
    <row r="650" spans="1:13" hidden="1" x14ac:dyDescent="0.25">
      <c r="A650" s="17">
        <v>46239</v>
      </c>
      <c r="B650" t="s">
        <v>1477</v>
      </c>
      <c r="C650">
        <v>101</v>
      </c>
      <c r="D650">
        <v>8001</v>
      </c>
      <c r="E650" t="s">
        <v>147</v>
      </c>
      <c r="F650" t="s">
        <v>229</v>
      </c>
      <c r="G650" t="s">
        <v>230</v>
      </c>
      <c r="H650">
        <v>47</v>
      </c>
      <c r="I650">
        <f>SUMIF($D$2:D650, D650, $H$2:H650)</f>
        <v>108</v>
      </c>
      <c r="J650" t="s">
        <v>149</v>
      </c>
      <c r="K650">
        <v>28</v>
      </c>
      <c r="L650">
        <f>ABS(Tabela4[[#This Row],[Quantidade]]*Tabela4[[#This Row],[Valor Unitario]])</f>
        <v>1316</v>
      </c>
      <c r="M650" t="s">
        <v>1478</v>
      </c>
    </row>
    <row r="651" spans="1:13" hidden="1" x14ac:dyDescent="0.25">
      <c r="A651" s="17">
        <v>46240</v>
      </c>
      <c r="B651" t="s">
        <v>485</v>
      </c>
      <c r="C651">
        <v>101</v>
      </c>
      <c r="D651">
        <v>2008</v>
      </c>
      <c r="E651" t="s">
        <v>78</v>
      </c>
      <c r="F651" t="s">
        <v>229</v>
      </c>
      <c r="G651" t="s">
        <v>230</v>
      </c>
      <c r="H651">
        <v>11</v>
      </c>
      <c r="I651">
        <f>SUMIF($D$2:D651, D651, $H$2:H651)</f>
        <v>84</v>
      </c>
      <c r="J651" t="s">
        <v>61</v>
      </c>
      <c r="K651">
        <v>24500</v>
      </c>
      <c r="L651">
        <f>ABS(Tabela4[[#This Row],[Quantidade]]*Tabela4[[#This Row],[Valor Unitario]])</f>
        <v>269500</v>
      </c>
      <c r="M651" t="s">
        <v>486</v>
      </c>
    </row>
    <row r="652" spans="1:13" hidden="1" x14ac:dyDescent="0.25">
      <c r="A652" s="17">
        <v>46240</v>
      </c>
      <c r="B652" t="s">
        <v>581</v>
      </c>
      <c r="C652">
        <v>101</v>
      </c>
      <c r="D652">
        <v>2011</v>
      </c>
      <c r="E652" t="s">
        <v>84</v>
      </c>
      <c r="F652" t="s">
        <v>229</v>
      </c>
      <c r="G652" t="s">
        <v>230</v>
      </c>
      <c r="H652">
        <v>51</v>
      </c>
      <c r="I652">
        <f>SUMIF($D$2:D652, D652, $H$2:H652)</f>
        <v>10</v>
      </c>
      <c r="J652" t="s">
        <v>61</v>
      </c>
      <c r="K652">
        <v>9800</v>
      </c>
      <c r="L652">
        <f>ABS(Tabela4[[#This Row],[Quantidade]]*Tabela4[[#This Row],[Valor Unitario]])</f>
        <v>499800</v>
      </c>
      <c r="M652" t="s">
        <v>582</v>
      </c>
    </row>
    <row r="653" spans="1:13" hidden="1" x14ac:dyDescent="0.25">
      <c r="A653" s="17">
        <v>46240</v>
      </c>
      <c r="B653" t="s">
        <v>901</v>
      </c>
      <c r="C653">
        <v>101</v>
      </c>
      <c r="D653">
        <v>3003</v>
      </c>
      <c r="E653" t="s">
        <v>107</v>
      </c>
      <c r="F653" t="s">
        <v>229</v>
      </c>
      <c r="G653" t="s">
        <v>230</v>
      </c>
      <c r="H653">
        <v>31</v>
      </c>
      <c r="I653">
        <f>SUMIF($D$2:D653, D653, $H$2:H653)</f>
        <v>62</v>
      </c>
      <c r="J653" t="s">
        <v>61</v>
      </c>
      <c r="K653">
        <v>2450</v>
      </c>
      <c r="L653">
        <f>ABS(Tabela4[[#This Row],[Quantidade]]*Tabela4[[#This Row],[Valor Unitario]])</f>
        <v>75950</v>
      </c>
      <c r="M653" t="s">
        <v>902</v>
      </c>
    </row>
    <row r="654" spans="1:13" hidden="1" x14ac:dyDescent="0.25">
      <c r="A654" s="17">
        <v>46240</v>
      </c>
      <c r="B654" t="s">
        <v>1029</v>
      </c>
      <c r="C654">
        <v>101</v>
      </c>
      <c r="D654">
        <v>5001</v>
      </c>
      <c r="E654" t="s">
        <v>116</v>
      </c>
      <c r="F654" t="s">
        <v>229</v>
      </c>
      <c r="G654" t="s">
        <v>230</v>
      </c>
      <c r="H654">
        <v>92</v>
      </c>
      <c r="I654">
        <f>SUMIF($D$2:D654, D654, $H$2:H654)</f>
        <v>154</v>
      </c>
      <c r="J654" t="s">
        <v>61</v>
      </c>
      <c r="K654">
        <v>32500</v>
      </c>
      <c r="L654">
        <f>ABS(Tabela4[[#This Row],[Quantidade]]*Tabela4[[#This Row],[Valor Unitario]])</f>
        <v>2990000</v>
      </c>
      <c r="M654" t="s">
        <v>1030</v>
      </c>
    </row>
    <row r="655" spans="1:13" hidden="1" x14ac:dyDescent="0.25">
      <c r="A655" s="17">
        <v>46240</v>
      </c>
      <c r="B655" t="s">
        <v>1061</v>
      </c>
      <c r="C655">
        <v>101</v>
      </c>
      <c r="D655">
        <v>5002</v>
      </c>
      <c r="E655" t="s">
        <v>119</v>
      </c>
      <c r="F655" t="s">
        <v>229</v>
      </c>
      <c r="G655" t="s">
        <v>230</v>
      </c>
      <c r="H655">
        <v>3</v>
      </c>
      <c r="I655">
        <f>SUMIF($D$2:D655, D655, $H$2:H655)</f>
        <v>34</v>
      </c>
      <c r="J655" t="s">
        <v>61</v>
      </c>
      <c r="K655">
        <v>17800</v>
      </c>
      <c r="L655">
        <f>ABS(Tabela4[[#This Row],[Quantidade]]*Tabela4[[#This Row],[Valor Unitario]])</f>
        <v>53400</v>
      </c>
      <c r="M655" t="s">
        <v>1062</v>
      </c>
    </row>
    <row r="656" spans="1:13" hidden="1" x14ac:dyDescent="0.25">
      <c r="A656" s="17">
        <v>46241</v>
      </c>
      <c r="B656" t="s">
        <v>517</v>
      </c>
      <c r="C656">
        <v>101</v>
      </c>
      <c r="D656">
        <v>2009</v>
      </c>
      <c r="E656" t="s">
        <v>80</v>
      </c>
      <c r="F656" t="s">
        <v>229</v>
      </c>
      <c r="G656" t="s">
        <v>230</v>
      </c>
      <c r="H656">
        <v>16</v>
      </c>
      <c r="I656">
        <f>SUMIF($D$2:D656, D656, $H$2:H656)</f>
        <v>114</v>
      </c>
      <c r="J656" t="s">
        <v>61</v>
      </c>
      <c r="K656">
        <v>1650</v>
      </c>
      <c r="L656">
        <f>ABS(Tabela4[[#This Row],[Quantidade]]*Tabela4[[#This Row],[Valor Unitario]])</f>
        <v>26400</v>
      </c>
      <c r="M656" t="s">
        <v>518</v>
      </c>
    </row>
    <row r="657" spans="1:13" hidden="1" x14ac:dyDescent="0.25">
      <c r="A657" s="17">
        <v>46241</v>
      </c>
      <c r="B657" t="s">
        <v>869</v>
      </c>
      <c r="C657">
        <v>101</v>
      </c>
      <c r="D657">
        <v>3002</v>
      </c>
      <c r="E657" t="s">
        <v>105</v>
      </c>
      <c r="F657" t="s">
        <v>229</v>
      </c>
      <c r="G657" t="s">
        <v>230</v>
      </c>
      <c r="H657">
        <v>93</v>
      </c>
      <c r="I657">
        <f>SUMIF($D$2:D657, D657, $H$2:H657)</f>
        <v>23</v>
      </c>
      <c r="J657" t="s">
        <v>61</v>
      </c>
      <c r="K657">
        <v>95</v>
      </c>
      <c r="L657">
        <f>ABS(Tabela4[[#This Row],[Quantidade]]*Tabela4[[#This Row],[Valor Unitario]])</f>
        <v>8835</v>
      </c>
      <c r="M657" t="s">
        <v>870</v>
      </c>
    </row>
    <row r="658" spans="1:13" hidden="1" x14ac:dyDescent="0.25">
      <c r="A658" s="17">
        <v>46241</v>
      </c>
      <c r="B658" t="s">
        <v>965</v>
      </c>
      <c r="C658">
        <v>101</v>
      </c>
      <c r="D658">
        <v>4001</v>
      </c>
      <c r="E658" t="s">
        <v>111</v>
      </c>
      <c r="F658" t="s">
        <v>229</v>
      </c>
      <c r="G658" t="s">
        <v>230</v>
      </c>
      <c r="H658">
        <v>57</v>
      </c>
      <c r="I658">
        <f>SUMIF($D$2:D658, D658, $H$2:H658)</f>
        <v>111</v>
      </c>
      <c r="J658" t="s">
        <v>61</v>
      </c>
      <c r="K658">
        <v>3200</v>
      </c>
      <c r="L658">
        <f>ABS(Tabela4[[#This Row],[Quantidade]]*Tabela4[[#This Row],[Valor Unitario]])</f>
        <v>182400</v>
      </c>
      <c r="M658" t="s">
        <v>966</v>
      </c>
    </row>
    <row r="659" spans="1:13" hidden="1" x14ac:dyDescent="0.25">
      <c r="A659" s="17">
        <v>46241</v>
      </c>
      <c r="B659" t="s">
        <v>1669</v>
      </c>
      <c r="C659">
        <v>101</v>
      </c>
      <c r="D659">
        <v>9005</v>
      </c>
      <c r="E659" t="s">
        <v>163</v>
      </c>
      <c r="F659" t="s">
        <v>229</v>
      </c>
      <c r="G659" t="s">
        <v>230</v>
      </c>
      <c r="H659">
        <v>86</v>
      </c>
      <c r="I659">
        <f>SUMIF($D$2:D659, D659, $H$2:H659)</f>
        <v>91</v>
      </c>
      <c r="J659" t="s">
        <v>61</v>
      </c>
      <c r="K659">
        <v>8.9</v>
      </c>
      <c r="L659">
        <f>ABS(Tabela4[[#This Row],[Quantidade]]*Tabela4[[#This Row],[Valor Unitario]])</f>
        <v>765.4</v>
      </c>
      <c r="M659" t="s">
        <v>1670</v>
      </c>
    </row>
    <row r="660" spans="1:13" hidden="1" x14ac:dyDescent="0.25">
      <c r="A660" s="17">
        <v>46242</v>
      </c>
      <c r="B660" t="s">
        <v>383</v>
      </c>
      <c r="C660">
        <v>101</v>
      </c>
      <c r="D660">
        <v>2004</v>
      </c>
      <c r="E660" t="s">
        <v>69</v>
      </c>
      <c r="F660" t="s">
        <v>229</v>
      </c>
      <c r="G660" t="s">
        <v>230</v>
      </c>
      <c r="H660">
        <v>12</v>
      </c>
      <c r="I660">
        <f>SUMIF($D$2:D660, D660, $H$2:H660)</f>
        <v>66</v>
      </c>
      <c r="J660" t="s">
        <v>61</v>
      </c>
      <c r="K660">
        <v>11800</v>
      </c>
      <c r="L660">
        <f>ABS(Tabela4[[#This Row],[Quantidade]]*Tabela4[[#This Row],[Valor Unitario]])</f>
        <v>141600</v>
      </c>
      <c r="M660" t="s">
        <v>293</v>
      </c>
    </row>
    <row r="661" spans="1:13" hidden="1" x14ac:dyDescent="0.25">
      <c r="A661" s="17">
        <v>46242</v>
      </c>
      <c r="B661" t="s">
        <v>677</v>
      </c>
      <c r="C661">
        <v>101</v>
      </c>
      <c r="D661">
        <v>2357</v>
      </c>
      <c r="E661" t="s">
        <v>91</v>
      </c>
      <c r="F661" t="s">
        <v>229</v>
      </c>
      <c r="G661" t="s">
        <v>230</v>
      </c>
      <c r="H661">
        <v>53</v>
      </c>
      <c r="I661">
        <f>SUMIF($D$2:D661, D661, $H$2:H661)</f>
        <v>139</v>
      </c>
      <c r="J661" t="s">
        <v>61</v>
      </c>
      <c r="K661">
        <v>210</v>
      </c>
      <c r="L661">
        <f>ABS(Tabela4[[#This Row],[Quantidade]]*Tabela4[[#This Row],[Valor Unitario]])</f>
        <v>11130</v>
      </c>
      <c r="M661" t="s">
        <v>678</v>
      </c>
    </row>
    <row r="662" spans="1:13" hidden="1" x14ac:dyDescent="0.25">
      <c r="A662" s="17">
        <v>46242</v>
      </c>
      <c r="B662" t="s">
        <v>709</v>
      </c>
      <c r="C662">
        <v>101</v>
      </c>
      <c r="D662">
        <v>2358</v>
      </c>
      <c r="E662" t="s">
        <v>93</v>
      </c>
      <c r="F662" t="s">
        <v>229</v>
      </c>
      <c r="G662" t="s">
        <v>230</v>
      </c>
      <c r="H662">
        <v>1</v>
      </c>
      <c r="I662">
        <f>SUMIF($D$2:D662, D662, $H$2:H662)</f>
        <v>111</v>
      </c>
      <c r="J662" t="s">
        <v>61</v>
      </c>
      <c r="K662">
        <v>890</v>
      </c>
      <c r="L662">
        <f>ABS(Tabela4[[#This Row],[Quantidade]]*Tabela4[[#This Row],[Valor Unitario]])</f>
        <v>890</v>
      </c>
      <c r="M662" t="s">
        <v>710</v>
      </c>
    </row>
    <row r="663" spans="1:13" hidden="1" x14ac:dyDescent="0.25">
      <c r="A663" s="17">
        <v>46242</v>
      </c>
      <c r="B663" t="s">
        <v>933</v>
      </c>
      <c r="C663">
        <v>101</v>
      </c>
      <c r="D663">
        <v>3004</v>
      </c>
      <c r="E663" t="s">
        <v>109</v>
      </c>
      <c r="F663" t="s">
        <v>229</v>
      </c>
      <c r="G663" t="s">
        <v>230</v>
      </c>
      <c r="H663">
        <v>33</v>
      </c>
      <c r="I663">
        <f>SUMIF($D$2:D663, D663, $H$2:H663)</f>
        <v>269</v>
      </c>
      <c r="J663" t="s">
        <v>61</v>
      </c>
      <c r="K663">
        <v>2180</v>
      </c>
      <c r="L663">
        <f>ABS(Tabela4[[#This Row],[Quantidade]]*Tabela4[[#This Row],[Valor Unitario]])</f>
        <v>71940</v>
      </c>
      <c r="M663" t="s">
        <v>934</v>
      </c>
    </row>
    <row r="664" spans="1:13" hidden="1" x14ac:dyDescent="0.25">
      <c r="A664" s="17">
        <v>46242</v>
      </c>
      <c r="B664" t="s">
        <v>1189</v>
      </c>
      <c r="C664">
        <v>101</v>
      </c>
      <c r="D664">
        <v>5006</v>
      </c>
      <c r="E664" t="s">
        <v>127</v>
      </c>
      <c r="F664" t="s">
        <v>229</v>
      </c>
      <c r="G664" t="s">
        <v>230</v>
      </c>
      <c r="H664">
        <v>7</v>
      </c>
      <c r="I664">
        <f>SUMIF($D$2:D664, D664, $H$2:H664)</f>
        <v>27</v>
      </c>
      <c r="J664" t="s">
        <v>103</v>
      </c>
      <c r="K664">
        <v>22</v>
      </c>
      <c r="L664">
        <f>ABS(Tabela4[[#This Row],[Quantidade]]*Tabela4[[#This Row],[Valor Unitario]])</f>
        <v>154</v>
      </c>
      <c r="M664" t="s">
        <v>1190</v>
      </c>
    </row>
    <row r="665" spans="1:13" hidden="1" x14ac:dyDescent="0.25">
      <c r="A665" s="17">
        <v>46242</v>
      </c>
      <c r="B665" t="s">
        <v>1221</v>
      </c>
      <c r="C665">
        <v>101</v>
      </c>
      <c r="D665">
        <v>5007</v>
      </c>
      <c r="E665" t="s">
        <v>129</v>
      </c>
      <c r="F665" t="s">
        <v>229</v>
      </c>
      <c r="G665" t="s">
        <v>230</v>
      </c>
      <c r="H665">
        <v>83</v>
      </c>
      <c r="I665">
        <f>SUMIF($D$2:D665, D665, $H$2:H665)</f>
        <v>38</v>
      </c>
      <c r="J665" t="s">
        <v>61</v>
      </c>
      <c r="K665">
        <v>340</v>
      </c>
      <c r="L665">
        <f>ABS(Tabela4[[#This Row],[Quantidade]]*Tabela4[[#This Row],[Valor Unitario]])</f>
        <v>28220</v>
      </c>
      <c r="M665" t="s">
        <v>1222</v>
      </c>
    </row>
    <row r="666" spans="1:13" hidden="1" x14ac:dyDescent="0.25">
      <c r="A666" s="17">
        <v>46243</v>
      </c>
      <c r="B666" t="s">
        <v>1093</v>
      </c>
      <c r="C666">
        <v>101</v>
      </c>
      <c r="D666">
        <v>5003</v>
      </c>
      <c r="E666" t="s">
        <v>121</v>
      </c>
      <c r="F666" t="s">
        <v>229</v>
      </c>
      <c r="G666" t="s">
        <v>230</v>
      </c>
      <c r="H666">
        <v>38</v>
      </c>
      <c r="I666">
        <f>SUMIF($D$2:D666, D666, $H$2:H666)</f>
        <v>168</v>
      </c>
      <c r="J666" t="s">
        <v>61</v>
      </c>
      <c r="K666">
        <v>8900</v>
      </c>
      <c r="L666">
        <f>ABS(Tabela4[[#This Row],[Quantidade]]*Tabela4[[#This Row],[Valor Unitario]])</f>
        <v>338200</v>
      </c>
      <c r="M666" t="s">
        <v>1094</v>
      </c>
    </row>
    <row r="667" spans="1:13" hidden="1" x14ac:dyDescent="0.25">
      <c r="A667" s="17">
        <v>46243</v>
      </c>
      <c r="B667" t="s">
        <v>1349</v>
      </c>
      <c r="C667">
        <v>101</v>
      </c>
      <c r="D667">
        <v>6004</v>
      </c>
      <c r="E667" t="s">
        <v>138</v>
      </c>
      <c r="F667" t="s">
        <v>229</v>
      </c>
      <c r="G667" t="s">
        <v>230</v>
      </c>
      <c r="H667">
        <v>18</v>
      </c>
      <c r="I667">
        <f>SUMIF($D$2:D667, D667, $H$2:H667)</f>
        <v>337</v>
      </c>
      <c r="J667" t="s">
        <v>61</v>
      </c>
      <c r="K667">
        <v>2650</v>
      </c>
      <c r="L667">
        <f>ABS(Tabela4[[#This Row],[Quantidade]]*Tabela4[[#This Row],[Valor Unitario]])</f>
        <v>47700</v>
      </c>
      <c r="M667" t="s">
        <v>1350</v>
      </c>
    </row>
    <row r="668" spans="1:13" hidden="1" x14ac:dyDescent="0.25">
      <c r="A668" s="17">
        <v>46243</v>
      </c>
      <c r="B668" t="s">
        <v>1573</v>
      </c>
      <c r="C668">
        <v>101</v>
      </c>
      <c r="D668">
        <v>9002</v>
      </c>
      <c r="E668" t="s">
        <v>157</v>
      </c>
      <c r="F668" t="s">
        <v>229</v>
      </c>
      <c r="G668" t="s">
        <v>230</v>
      </c>
      <c r="H668">
        <v>67</v>
      </c>
      <c r="I668">
        <f>SUMIF($D$2:D668, D668, $H$2:H668)</f>
        <v>216</v>
      </c>
      <c r="J668" t="s">
        <v>61</v>
      </c>
      <c r="K668">
        <v>6.5</v>
      </c>
      <c r="L668">
        <f>ABS(Tabela4[[#This Row],[Quantidade]]*Tabela4[[#This Row],[Valor Unitario]])</f>
        <v>435.5</v>
      </c>
      <c r="M668" t="s">
        <v>1574</v>
      </c>
    </row>
    <row r="669" spans="1:13" hidden="1" x14ac:dyDescent="0.25">
      <c r="A669" s="17">
        <v>46245</v>
      </c>
      <c r="B669" t="s">
        <v>1125</v>
      </c>
      <c r="C669">
        <v>101</v>
      </c>
      <c r="D669">
        <v>5004</v>
      </c>
      <c r="E669" t="s">
        <v>123</v>
      </c>
      <c r="F669" t="s">
        <v>229</v>
      </c>
      <c r="G669" t="s">
        <v>230</v>
      </c>
      <c r="H669">
        <v>16</v>
      </c>
      <c r="I669">
        <f>SUMIF($D$2:D669, D669, $H$2:H669)</f>
        <v>70</v>
      </c>
      <c r="J669" t="s">
        <v>61</v>
      </c>
      <c r="K669">
        <v>1350</v>
      </c>
      <c r="L669">
        <f>ABS(Tabela4[[#This Row],[Quantidade]]*Tabela4[[#This Row],[Valor Unitario]])</f>
        <v>21600</v>
      </c>
      <c r="M669" t="s">
        <v>1126</v>
      </c>
    </row>
    <row r="670" spans="1:13" hidden="1" x14ac:dyDescent="0.25">
      <c r="A670" s="17">
        <v>46245</v>
      </c>
      <c r="B670" t="s">
        <v>1445</v>
      </c>
      <c r="C670">
        <v>101</v>
      </c>
      <c r="D670">
        <v>7003</v>
      </c>
      <c r="E670" t="s">
        <v>145</v>
      </c>
      <c r="F670" t="s">
        <v>229</v>
      </c>
      <c r="G670" t="s">
        <v>230</v>
      </c>
      <c r="H670">
        <v>76</v>
      </c>
      <c r="I670">
        <f>SUMIF($D$2:D670, D670, $H$2:H670)</f>
        <v>168</v>
      </c>
      <c r="J670" t="s">
        <v>61</v>
      </c>
      <c r="K670">
        <v>130</v>
      </c>
      <c r="L670">
        <f>ABS(Tabela4[[#This Row],[Quantidade]]*Tabela4[[#This Row],[Valor Unitario]])</f>
        <v>9880</v>
      </c>
      <c r="M670" t="s">
        <v>1446</v>
      </c>
    </row>
    <row r="671" spans="1:13" hidden="1" x14ac:dyDescent="0.25">
      <c r="A671" s="17">
        <v>46246</v>
      </c>
      <c r="B671" t="s">
        <v>837</v>
      </c>
      <c r="C671">
        <v>101</v>
      </c>
      <c r="D671">
        <v>3001</v>
      </c>
      <c r="E671" t="s">
        <v>101</v>
      </c>
      <c r="F671" t="s">
        <v>229</v>
      </c>
      <c r="G671" t="s">
        <v>230</v>
      </c>
      <c r="H671">
        <v>61</v>
      </c>
      <c r="I671">
        <f>SUMIF($D$2:D671, D671, $H$2:H671)</f>
        <v>218</v>
      </c>
      <c r="J671" t="s">
        <v>103</v>
      </c>
      <c r="K671">
        <v>320</v>
      </c>
      <c r="L671">
        <f>ABS(Tabela4[[#This Row],[Quantidade]]*Tabela4[[#This Row],[Valor Unitario]])</f>
        <v>19520</v>
      </c>
      <c r="M671" t="s">
        <v>838</v>
      </c>
    </row>
    <row r="672" spans="1:13" hidden="1" x14ac:dyDescent="0.25">
      <c r="A672" s="17">
        <v>46246</v>
      </c>
      <c r="B672" t="s">
        <v>1605</v>
      </c>
      <c r="C672">
        <v>101</v>
      </c>
      <c r="D672">
        <v>9003</v>
      </c>
      <c r="E672" t="s">
        <v>159</v>
      </c>
      <c r="F672" t="s">
        <v>229</v>
      </c>
      <c r="G672" t="s">
        <v>230</v>
      </c>
      <c r="H672">
        <v>82</v>
      </c>
      <c r="I672">
        <f>SUMIF($D$2:D672, D672, $H$2:H672)</f>
        <v>30</v>
      </c>
      <c r="J672" t="s">
        <v>61</v>
      </c>
      <c r="K672">
        <v>2.2000000000000002</v>
      </c>
      <c r="L672">
        <f>ABS(Tabela4[[#This Row],[Quantidade]]*Tabela4[[#This Row],[Valor Unitario]])</f>
        <v>180.4</v>
      </c>
      <c r="M672" t="s">
        <v>1606</v>
      </c>
    </row>
    <row r="673" spans="1:13" hidden="1" x14ac:dyDescent="0.25">
      <c r="A673" s="17">
        <v>46247</v>
      </c>
      <c r="B673" t="s">
        <v>399</v>
      </c>
      <c r="C673">
        <v>101</v>
      </c>
      <c r="D673">
        <v>2005</v>
      </c>
      <c r="E673" t="s">
        <v>71</v>
      </c>
      <c r="F673" t="s">
        <v>229</v>
      </c>
      <c r="G673" t="s">
        <v>230</v>
      </c>
      <c r="H673">
        <v>96</v>
      </c>
      <c r="I673">
        <f>SUMIF($D$2:D673, D673, $H$2:H673)</f>
        <v>122</v>
      </c>
      <c r="J673" t="s">
        <v>61</v>
      </c>
      <c r="K673">
        <v>3450</v>
      </c>
      <c r="L673">
        <f>ABS(Tabela4[[#This Row],[Quantidade]]*Tabela4[[#This Row],[Valor Unitario]])</f>
        <v>331200</v>
      </c>
      <c r="M673" t="s">
        <v>309</v>
      </c>
    </row>
    <row r="674" spans="1:13" hidden="1" x14ac:dyDescent="0.25">
      <c r="A674" s="17">
        <v>46247</v>
      </c>
      <c r="B674" t="s">
        <v>1157</v>
      </c>
      <c r="C674">
        <v>101</v>
      </c>
      <c r="D674">
        <v>5005</v>
      </c>
      <c r="E674" t="s">
        <v>125</v>
      </c>
      <c r="F674" t="s">
        <v>229</v>
      </c>
      <c r="G674" t="s">
        <v>230</v>
      </c>
      <c r="H674">
        <v>27</v>
      </c>
      <c r="I674">
        <f>SUMIF($D$2:D674, D674, $H$2:H674)</f>
        <v>167</v>
      </c>
      <c r="J674" t="s">
        <v>61</v>
      </c>
      <c r="K674">
        <v>780</v>
      </c>
      <c r="L674">
        <f>ABS(Tabela4[[#This Row],[Quantidade]]*Tabela4[[#This Row],[Valor Unitario]])</f>
        <v>21060</v>
      </c>
      <c r="M674" t="s">
        <v>1158</v>
      </c>
    </row>
    <row r="675" spans="1:13" hidden="1" x14ac:dyDescent="0.25">
      <c r="A675" s="17">
        <v>46247</v>
      </c>
      <c r="B675" t="s">
        <v>1509</v>
      </c>
      <c r="C675">
        <v>101</v>
      </c>
      <c r="D675">
        <v>8002</v>
      </c>
      <c r="E675" t="s">
        <v>151</v>
      </c>
      <c r="F675" t="s">
        <v>229</v>
      </c>
      <c r="G675" t="s">
        <v>230</v>
      </c>
      <c r="H675">
        <v>63</v>
      </c>
      <c r="I675">
        <f>SUMIF($D$2:D675, D675, $H$2:H675)</f>
        <v>52</v>
      </c>
      <c r="J675" t="s">
        <v>152</v>
      </c>
      <c r="K675">
        <v>32</v>
      </c>
      <c r="L675">
        <f>ABS(Tabela4[[#This Row],[Quantidade]]*Tabela4[[#This Row],[Valor Unitario]])</f>
        <v>2016</v>
      </c>
      <c r="M675" t="s">
        <v>1510</v>
      </c>
    </row>
    <row r="676" spans="1:13" hidden="1" x14ac:dyDescent="0.25">
      <c r="A676" s="17">
        <v>46248</v>
      </c>
      <c r="B676" t="s">
        <v>549</v>
      </c>
      <c r="C676">
        <v>101</v>
      </c>
      <c r="D676">
        <v>2010</v>
      </c>
      <c r="E676" t="s">
        <v>82</v>
      </c>
      <c r="F676" t="s">
        <v>229</v>
      </c>
      <c r="G676" t="s">
        <v>230</v>
      </c>
      <c r="H676">
        <v>99</v>
      </c>
      <c r="I676">
        <f>SUMIF($D$2:D676, D676, $H$2:H676)</f>
        <v>94</v>
      </c>
      <c r="J676" t="s">
        <v>61</v>
      </c>
      <c r="K676">
        <v>2150</v>
      </c>
      <c r="L676">
        <f>ABS(Tabela4[[#This Row],[Quantidade]]*Tabela4[[#This Row],[Valor Unitario]])</f>
        <v>212850</v>
      </c>
      <c r="M676" t="s">
        <v>550</v>
      </c>
    </row>
    <row r="677" spans="1:13" hidden="1" x14ac:dyDescent="0.25">
      <c r="A677" s="17">
        <v>46248</v>
      </c>
      <c r="B677" t="s">
        <v>1285</v>
      </c>
      <c r="C677">
        <v>101</v>
      </c>
      <c r="D677">
        <v>6002</v>
      </c>
      <c r="E677" t="s">
        <v>134</v>
      </c>
      <c r="F677" t="s">
        <v>229</v>
      </c>
      <c r="G677" t="s">
        <v>230</v>
      </c>
      <c r="H677">
        <v>11</v>
      </c>
      <c r="I677">
        <f>SUMIF($D$2:D677, D677, $H$2:H677)</f>
        <v>84</v>
      </c>
      <c r="J677" t="s">
        <v>61</v>
      </c>
      <c r="K677">
        <v>6900</v>
      </c>
      <c r="L677">
        <f>ABS(Tabela4[[#This Row],[Quantidade]]*Tabela4[[#This Row],[Valor Unitario]])</f>
        <v>75900</v>
      </c>
      <c r="M677" t="s">
        <v>1286</v>
      </c>
    </row>
    <row r="678" spans="1:13" hidden="1" x14ac:dyDescent="0.25">
      <c r="A678" s="17">
        <v>46248</v>
      </c>
      <c r="B678" t="s">
        <v>1317</v>
      </c>
      <c r="C678">
        <v>101</v>
      </c>
      <c r="D678">
        <v>6003</v>
      </c>
      <c r="E678" t="s">
        <v>136</v>
      </c>
      <c r="F678" t="s">
        <v>229</v>
      </c>
      <c r="G678" t="s">
        <v>230</v>
      </c>
      <c r="H678">
        <v>60</v>
      </c>
      <c r="I678">
        <f>SUMIF($D$2:D678, D678, $H$2:H678)</f>
        <v>88</v>
      </c>
      <c r="J678" t="s">
        <v>103</v>
      </c>
      <c r="K678">
        <v>85</v>
      </c>
      <c r="L678">
        <f>ABS(Tabela4[[#This Row],[Quantidade]]*Tabela4[[#This Row],[Valor Unitario]])</f>
        <v>5100</v>
      </c>
      <c r="M678" t="s">
        <v>1318</v>
      </c>
    </row>
    <row r="679" spans="1:13" hidden="1" x14ac:dyDescent="0.25">
      <c r="A679" s="17">
        <v>46248</v>
      </c>
      <c r="B679" t="s">
        <v>1637</v>
      </c>
      <c r="C679">
        <v>101</v>
      </c>
      <c r="D679">
        <v>9004</v>
      </c>
      <c r="E679" t="s">
        <v>161</v>
      </c>
      <c r="F679" t="s">
        <v>229</v>
      </c>
      <c r="G679" t="s">
        <v>230</v>
      </c>
      <c r="H679">
        <v>9</v>
      </c>
      <c r="I679">
        <f>SUMIF($D$2:D679, D679, $H$2:H679)</f>
        <v>121</v>
      </c>
      <c r="J679" t="s">
        <v>61</v>
      </c>
      <c r="K679">
        <v>45</v>
      </c>
      <c r="L679">
        <f>ABS(Tabela4[[#This Row],[Quantidade]]*Tabela4[[#This Row],[Valor Unitario]])</f>
        <v>405</v>
      </c>
      <c r="M679" t="s">
        <v>1638</v>
      </c>
    </row>
    <row r="680" spans="1:13" hidden="1" x14ac:dyDescent="0.25">
      <c r="A680" s="17">
        <v>46249</v>
      </c>
      <c r="B680" t="s">
        <v>455</v>
      </c>
      <c r="C680">
        <v>261</v>
      </c>
      <c r="D680">
        <v>2007</v>
      </c>
      <c r="E680" t="s">
        <v>76</v>
      </c>
      <c r="F680" t="s">
        <v>229</v>
      </c>
      <c r="G680" t="s">
        <v>230</v>
      </c>
      <c r="H680">
        <v>-59</v>
      </c>
      <c r="I680">
        <f>SUMIF($D$2:D680, D680, $H$2:H680)</f>
        <v>38</v>
      </c>
      <c r="J680" t="s">
        <v>61</v>
      </c>
      <c r="K680">
        <v>1980</v>
      </c>
      <c r="L680">
        <f>ABS(Tabela4[[#This Row],[Quantidade]]*Tabela4[[#This Row],[Valor Unitario]])</f>
        <v>116820</v>
      </c>
      <c r="M680" t="s">
        <v>456</v>
      </c>
    </row>
    <row r="681" spans="1:13" hidden="1" x14ac:dyDescent="0.25">
      <c r="A681" s="17">
        <v>46249</v>
      </c>
      <c r="B681" t="s">
        <v>487</v>
      </c>
      <c r="C681">
        <v>261</v>
      </c>
      <c r="D681">
        <v>2008</v>
      </c>
      <c r="E681" t="s">
        <v>78</v>
      </c>
      <c r="F681" t="s">
        <v>229</v>
      </c>
      <c r="G681" t="s">
        <v>230</v>
      </c>
      <c r="H681">
        <v>-73</v>
      </c>
      <c r="I681">
        <f>SUMIF($D$2:D681, D681, $H$2:H681)</f>
        <v>11</v>
      </c>
      <c r="J681" t="s">
        <v>61</v>
      </c>
      <c r="K681">
        <v>24500</v>
      </c>
      <c r="L681">
        <f>ABS(Tabela4[[#This Row],[Quantidade]]*Tabela4[[#This Row],[Valor Unitario]])</f>
        <v>1788500</v>
      </c>
      <c r="M681" t="s">
        <v>488</v>
      </c>
    </row>
    <row r="682" spans="1:13" hidden="1" x14ac:dyDescent="0.25">
      <c r="A682" s="17">
        <v>46249</v>
      </c>
      <c r="B682" t="s">
        <v>775</v>
      </c>
      <c r="C682">
        <v>261</v>
      </c>
      <c r="D682">
        <v>2360</v>
      </c>
      <c r="E682" t="s">
        <v>97</v>
      </c>
      <c r="F682" t="s">
        <v>229</v>
      </c>
      <c r="G682" t="s">
        <v>230</v>
      </c>
      <c r="H682">
        <v>-40</v>
      </c>
      <c r="I682">
        <f>SUMIF($D$2:D682, D682, $H$2:H682)</f>
        <v>6</v>
      </c>
      <c r="J682" t="s">
        <v>61</v>
      </c>
      <c r="K682">
        <v>2380</v>
      </c>
      <c r="L682">
        <f>ABS(Tabela4[[#This Row],[Quantidade]]*Tabela4[[#This Row],[Valor Unitario]])</f>
        <v>95200</v>
      </c>
      <c r="M682" t="s">
        <v>776</v>
      </c>
    </row>
    <row r="683" spans="1:13" hidden="1" x14ac:dyDescent="0.25">
      <c r="A683" s="17">
        <v>46249</v>
      </c>
      <c r="B683" t="s">
        <v>1031</v>
      </c>
      <c r="C683">
        <v>261</v>
      </c>
      <c r="D683">
        <v>5001</v>
      </c>
      <c r="E683" t="s">
        <v>116</v>
      </c>
      <c r="F683" t="s">
        <v>229</v>
      </c>
      <c r="G683" t="s">
        <v>230</v>
      </c>
      <c r="H683">
        <v>-69</v>
      </c>
      <c r="I683">
        <f>SUMIF($D$2:D683, D683, $H$2:H683)</f>
        <v>85</v>
      </c>
      <c r="J683" t="s">
        <v>61</v>
      </c>
      <c r="K683">
        <v>32500</v>
      </c>
      <c r="L683">
        <f>ABS(Tabela4[[#This Row],[Quantidade]]*Tabela4[[#This Row],[Valor Unitario]])</f>
        <v>2242500</v>
      </c>
      <c r="M683" t="s">
        <v>1032</v>
      </c>
    </row>
    <row r="684" spans="1:13" hidden="1" x14ac:dyDescent="0.25">
      <c r="A684" s="17">
        <v>46249</v>
      </c>
      <c r="B684" t="s">
        <v>1095</v>
      </c>
      <c r="C684">
        <v>261</v>
      </c>
      <c r="D684">
        <v>5003</v>
      </c>
      <c r="E684" t="s">
        <v>121</v>
      </c>
      <c r="F684" t="s">
        <v>229</v>
      </c>
      <c r="G684" t="s">
        <v>230</v>
      </c>
      <c r="H684">
        <v>-88</v>
      </c>
      <c r="I684">
        <f>SUMIF($D$2:D684, D684, $H$2:H684)</f>
        <v>80</v>
      </c>
      <c r="J684" t="s">
        <v>61</v>
      </c>
      <c r="K684">
        <v>8900</v>
      </c>
      <c r="L684">
        <f>ABS(Tabela4[[#This Row],[Quantidade]]*Tabela4[[#This Row],[Valor Unitario]])</f>
        <v>783200</v>
      </c>
      <c r="M684" t="s">
        <v>1096</v>
      </c>
    </row>
    <row r="685" spans="1:13" hidden="1" x14ac:dyDescent="0.25">
      <c r="A685" s="17">
        <v>46250</v>
      </c>
      <c r="B685" t="s">
        <v>384</v>
      </c>
      <c r="C685">
        <v>261</v>
      </c>
      <c r="D685">
        <v>2004</v>
      </c>
      <c r="E685" t="s">
        <v>69</v>
      </c>
      <c r="F685" t="s">
        <v>229</v>
      </c>
      <c r="G685" t="s">
        <v>230</v>
      </c>
      <c r="H685">
        <v>-33</v>
      </c>
      <c r="I685">
        <f>SUMIF($D$2:D685, D685, $H$2:H685)</f>
        <v>33</v>
      </c>
      <c r="J685" t="s">
        <v>61</v>
      </c>
      <c r="K685">
        <v>11800</v>
      </c>
      <c r="L685">
        <f>ABS(Tabela4[[#This Row],[Quantidade]]*Tabela4[[#This Row],[Valor Unitario]])</f>
        <v>389400</v>
      </c>
      <c r="M685" t="s">
        <v>294</v>
      </c>
    </row>
    <row r="686" spans="1:13" hidden="1" x14ac:dyDescent="0.25">
      <c r="A686" s="17">
        <v>46250</v>
      </c>
      <c r="B686" t="s">
        <v>871</v>
      </c>
      <c r="C686">
        <v>261</v>
      </c>
      <c r="D686">
        <v>3002</v>
      </c>
      <c r="E686" t="s">
        <v>105</v>
      </c>
      <c r="F686" t="s">
        <v>229</v>
      </c>
      <c r="G686" t="s">
        <v>230</v>
      </c>
      <c r="H686">
        <v>-15</v>
      </c>
      <c r="I686">
        <f>SUMIF($D$2:D686, D686, $H$2:H686)</f>
        <v>8</v>
      </c>
      <c r="J686" t="s">
        <v>61</v>
      </c>
      <c r="K686">
        <v>95</v>
      </c>
      <c r="L686">
        <f>ABS(Tabela4[[#This Row],[Quantidade]]*Tabela4[[#This Row],[Valor Unitario]])</f>
        <v>1425</v>
      </c>
      <c r="M686" t="s">
        <v>872</v>
      </c>
    </row>
    <row r="687" spans="1:13" hidden="1" x14ac:dyDescent="0.25">
      <c r="A687" s="17">
        <v>46250</v>
      </c>
      <c r="B687" t="s">
        <v>1063</v>
      </c>
      <c r="C687">
        <v>261</v>
      </c>
      <c r="D687">
        <v>5002</v>
      </c>
      <c r="E687" t="s">
        <v>119</v>
      </c>
      <c r="F687" t="s">
        <v>229</v>
      </c>
      <c r="G687" t="s">
        <v>230</v>
      </c>
      <c r="H687">
        <v>-12</v>
      </c>
      <c r="I687">
        <f>SUMIF($D$2:D687, D687, $H$2:H687)</f>
        <v>22</v>
      </c>
      <c r="J687" t="s">
        <v>61</v>
      </c>
      <c r="K687">
        <v>17800</v>
      </c>
      <c r="L687">
        <f>ABS(Tabela4[[#This Row],[Quantidade]]*Tabela4[[#This Row],[Valor Unitario]])</f>
        <v>213600</v>
      </c>
      <c r="M687" t="s">
        <v>1064</v>
      </c>
    </row>
    <row r="688" spans="1:13" hidden="1" x14ac:dyDescent="0.25">
      <c r="A688" s="17">
        <v>46250</v>
      </c>
      <c r="B688" t="s">
        <v>1319</v>
      </c>
      <c r="C688">
        <v>261</v>
      </c>
      <c r="D688">
        <v>6003</v>
      </c>
      <c r="E688" t="s">
        <v>136</v>
      </c>
      <c r="F688" t="s">
        <v>229</v>
      </c>
      <c r="G688" t="s">
        <v>230</v>
      </c>
      <c r="H688">
        <v>-78</v>
      </c>
      <c r="I688">
        <f>SUMIF($D$2:D688, D688, $H$2:H688)</f>
        <v>10</v>
      </c>
      <c r="J688" t="s">
        <v>103</v>
      </c>
      <c r="K688">
        <v>85</v>
      </c>
      <c r="L688">
        <f>ABS(Tabela4[[#This Row],[Quantidade]]*Tabela4[[#This Row],[Valor Unitario]])</f>
        <v>6630</v>
      </c>
      <c r="M688" t="s">
        <v>1320</v>
      </c>
    </row>
    <row r="689" spans="1:13" hidden="1" x14ac:dyDescent="0.25">
      <c r="A689" s="17">
        <v>46250</v>
      </c>
      <c r="B689" t="s">
        <v>1415</v>
      </c>
      <c r="C689">
        <v>261</v>
      </c>
      <c r="D689">
        <v>7002</v>
      </c>
      <c r="E689" t="s">
        <v>143</v>
      </c>
      <c r="F689" t="s">
        <v>229</v>
      </c>
      <c r="G689" t="s">
        <v>230</v>
      </c>
      <c r="H689">
        <v>-27</v>
      </c>
      <c r="I689">
        <f>SUMIF($D$2:D689, D689, $H$2:H689)</f>
        <v>51</v>
      </c>
      <c r="J689" t="s">
        <v>61</v>
      </c>
      <c r="K689">
        <v>95</v>
      </c>
      <c r="L689">
        <f>ABS(Tabela4[[#This Row],[Quantidade]]*Tabela4[[#This Row],[Valor Unitario]])</f>
        <v>2565</v>
      </c>
      <c r="M689" t="s">
        <v>1416</v>
      </c>
    </row>
    <row r="690" spans="1:13" hidden="1" x14ac:dyDescent="0.25">
      <c r="A690" s="17">
        <v>46250</v>
      </c>
      <c r="B690" t="s">
        <v>1543</v>
      </c>
      <c r="C690">
        <v>261</v>
      </c>
      <c r="D690">
        <v>9001</v>
      </c>
      <c r="E690" t="s">
        <v>154</v>
      </c>
      <c r="F690" t="s">
        <v>229</v>
      </c>
      <c r="G690" t="s">
        <v>230</v>
      </c>
      <c r="H690">
        <v>-66</v>
      </c>
      <c r="I690">
        <f>SUMIF($D$2:D690, D690, $H$2:H690)</f>
        <v>27</v>
      </c>
      <c r="J690" t="s">
        <v>61</v>
      </c>
      <c r="K690">
        <v>18</v>
      </c>
      <c r="L690">
        <f>ABS(Tabela4[[#This Row],[Quantidade]]*Tabela4[[#This Row],[Valor Unitario]])</f>
        <v>1188</v>
      </c>
      <c r="M690" t="s">
        <v>1544</v>
      </c>
    </row>
    <row r="691" spans="1:13" hidden="1" x14ac:dyDescent="0.25">
      <c r="A691" s="17">
        <v>46250</v>
      </c>
      <c r="B691" t="s">
        <v>1607</v>
      </c>
      <c r="C691">
        <v>261</v>
      </c>
      <c r="D691">
        <v>9003</v>
      </c>
      <c r="E691" t="s">
        <v>159</v>
      </c>
      <c r="F691" t="s">
        <v>229</v>
      </c>
      <c r="G691" t="s">
        <v>230</v>
      </c>
      <c r="H691">
        <v>-1</v>
      </c>
      <c r="I691">
        <f>SUMIF($D$2:D691, D691, $H$2:H691)</f>
        <v>29</v>
      </c>
      <c r="J691" t="s">
        <v>61</v>
      </c>
      <c r="K691">
        <v>2.2000000000000002</v>
      </c>
      <c r="L691">
        <f>ABS(Tabela4[[#This Row],[Quantidade]]*Tabela4[[#This Row],[Valor Unitario]])</f>
        <v>2.2000000000000002</v>
      </c>
      <c r="M691" t="s">
        <v>1608</v>
      </c>
    </row>
    <row r="692" spans="1:13" hidden="1" x14ac:dyDescent="0.25">
      <c r="A692" s="17">
        <v>46251</v>
      </c>
      <c r="B692" t="s">
        <v>903</v>
      </c>
      <c r="C692">
        <v>261</v>
      </c>
      <c r="D692">
        <v>3003</v>
      </c>
      <c r="E692" t="s">
        <v>107</v>
      </c>
      <c r="F692" t="s">
        <v>229</v>
      </c>
      <c r="G692" t="s">
        <v>230</v>
      </c>
      <c r="H692">
        <v>-61</v>
      </c>
      <c r="I692">
        <f>SUMIF($D$2:D692, D692, $H$2:H692)</f>
        <v>1</v>
      </c>
      <c r="J692" t="s">
        <v>61</v>
      </c>
      <c r="K692">
        <v>2450</v>
      </c>
      <c r="L692">
        <f>ABS(Tabela4[[#This Row],[Quantidade]]*Tabela4[[#This Row],[Valor Unitario]])</f>
        <v>149450</v>
      </c>
      <c r="M692" t="s">
        <v>904</v>
      </c>
    </row>
    <row r="693" spans="1:13" hidden="1" x14ac:dyDescent="0.25">
      <c r="A693" s="17">
        <v>46251</v>
      </c>
      <c r="B693" t="s">
        <v>1191</v>
      </c>
      <c r="C693">
        <v>261</v>
      </c>
      <c r="D693">
        <v>5006</v>
      </c>
      <c r="E693" t="s">
        <v>127</v>
      </c>
      <c r="F693" t="s">
        <v>229</v>
      </c>
      <c r="G693" t="s">
        <v>230</v>
      </c>
      <c r="H693">
        <v>-23</v>
      </c>
      <c r="I693">
        <f>SUMIF($D$2:D693, D693, $H$2:H693)</f>
        <v>4</v>
      </c>
      <c r="J693" t="s">
        <v>103</v>
      </c>
      <c r="K693">
        <v>22</v>
      </c>
      <c r="L693">
        <f>ABS(Tabela4[[#This Row],[Quantidade]]*Tabela4[[#This Row],[Valor Unitario]])</f>
        <v>506</v>
      </c>
      <c r="M693" t="s">
        <v>1192</v>
      </c>
    </row>
    <row r="694" spans="1:13" hidden="1" x14ac:dyDescent="0.25">
      <c r="A694" s="17">
        <v>46251</v>
      </c>
      <c r="B694" t="s">
        <v>1575</v>
      </c>
      <c r="C694">
        <v>261</v>
      </c>
      <c r="D694">
        <v>9002</v>
      </c>
      <c r="E694" t="s">
        <v>157</v>
      </c>
      <c r="F694" t="s">
        <v>229</v>
      </c>
      <c r="G694" t="s">
        <v>230</v>
      </c>
      <c r="H694">
        <v>-97</v>
      </c>
      <c r="I694">
        <f>SUMIF($D$2:D694, D694, $H$2:H694)</f>
        <v>119</v>
      </c>
      <c r="J694" t="s">
        <v>61</v>
      </c>
      <c r="K694">
        <v>6.5</v>
      </c>
      <c r="L694">
        <f>ABS(Tabela4[[#This Row],[Quantidade]]*Tabela4[[#This Row],[Valor Unitario]])</f>
        <v>630.5</v>
      </c>
      <c r="M694" t="s">
        <v>1576</v>
      </c>
    </row>
    <row r="695" spans="1:13" hidden="1" x14ac:dyDescent="0.25">
      <c r="A695" s="17">
        <v>46252</v>
      </c>
      <c r="B695" t="s">
        <v>400</v>
      </c>
      <c r="C695">
        <v>261</v>
      </c>
      <c r="D695">
        <v>2005</v>
      </c>
      <c r="E695" t="s">
        <v>71</v>
      </c>
      <c r="F695" t="s">
        <v>229</v>
      </c>
      <c r="G695" t="s">
        <v>230</v>
      </c>
      <c r="H695">
        <v>-94</v>
      </c>
      <c r="I695">
        <f>SUMIF($D$2:D695, D695, $H$2:H695)</f>
        <v>28</v>
      </c>
      <c r="J695" t="s">
        <v>61</v>
      </c>
      <c r="K695">
        <v>3450</v>
      </c>
      <c r="L695">
        <f>ABS(Tabela4[[#This Row],[Quantidade]]*Tabela4[[#This Row],[Valor Unitario]])</f>
        <v>324300</v>
      </c>
      <c r="M695" t="s">
        <v>310</v>
      </c>
    </row>
    <row r="696" spans="1:13" hidden="1" x14ac:dyDescent="0.25">
      <c r="A696" s="17">
        <v>46252</v>
      </c>
      <c r="B696" t="s">
        <v>1255</v>
      </c>
      <c r="C696">
        <v>261</v>
      </c>
      <c r="D696">
        <v>6001</v>
      </c>
      <c r="E696" t="s">
        <v>131</v>
      </c>
      <c r="F696" t="s">
        <v>229</v>
      </c>
      <c r="G696" t="s">
        <v>230</v>
      </c>
      <c r="H696">
        <v>-79</v>
      </c>
      <c r="I696">
        <f>SUMIF($D$2:D696, D696, $H$2:H696)</f>
        <v>39</v>
      </c>
      <c r="J696" t="s">
        <v>61</v>
      </c>
      <c r="K696">
        <v>15800</v>
      </c>
      <c r="L696">
        <f>ABS(Tabela4[[#This Row],[Quantidade]]*Tabela4[[#This Row],[Valor Unitario]])</f>
        <v>1248200</v>
      </c>
      <c r="M696" t="s">
        <v>1256</v>
      </c>
    </row>
    <row r="697" spans="1:13" hidden="1" x14ac:dyDescent="0.25">
      <c r="A697" s="17">
        <v>46252</v>
      </c>
      <c r="B697" t="s">
        <v>1287</v>
      </c>
      <c r="C697">
        <v>261</v>
      </c>
      <c r="D697">
        <v>6002</v>
      </c>
      <c r="E697" t="s">
        <v>134</v>
      </c>
      <c r="F697" t="s">
        <v>229</v>
      </c>
      <c r="G697" t="s">
        <v>230</v>
      </c>
      <c r="H697">
        <v>-77</v>
      </c>
      <c r="I697">
        <f>SUMIF($D$2:D697, D697, $H$2:H697)</f>
        <v>7</v>
      </c>
      <c r="J697" t="s">
        <v>61</v>
      </c>
      <c r="K697">
        <v>6900</v>
      </c>
      <c r="L697">
        <f>ABS(Tabela4[[#This Row],[Quantidade]]*Tabela4[[#This Row],[Valor Unitario]])</f>
        <v>531300</v>
      </c>
      <c r="M697" t="s">
        <v>1288</v>
      </c>
    </row>
    <row r="698" spans="1:13" hidden="1" x14ac:dyDescent="0.25">
      <c r="A698" s="17">
        <v>46252</v>
      </c>
      <c r="B698" t="s">
        <v>1447</v>
      </c>
      <c r="C698">
        <v>261</v>
      </c>
      <c r="D698">
        <v>7003</v>
      </c>
      <c r="E698" t="s">
        <v>145</v>
      </c>
      <c r="F698" t="s">
        <v>229</v>
      </c>
      <c r="G698" t="s">
        <v>230</v>
      </c>
      <c r="H698">
        <v>-68</v>
      </c>
      <c r="I698">
        <f>SUMIF($D$2:D698, D698, $H$2:H698)</f>
        <v>100</v>
      </c>
      <c r="J698" t="s">
        <v>61</v>
      </c>
      <c r="K698">
        <v>130</v>
      </c>
      <c r="L698">
        <f>ABS(Tabela4[[#This Row],[Quantidade]]*Tabela4[[#This Row],[Valor Unitario]])</f>
        <v>8840</v>
      </c>
      <c r="M698" t="s">
        <v>1448</v>
      </c>
    </row>
    <row r="699" spans="1:13" hidden="1" x14ac:dyDescent="0.25">
      <c r="A699" s="17">
        <v>46253</v>
      </c>
      <c r="B699" t="s">
        <v>615</v>
      </c>
      <c r="C699">
        <v>261</v>
      </c>
      <c r="D699">
        <v>2012</v>
      </c>
      <c r="E699" t="s">
        <v>86</v>
      </c>
      <c r="F699" t="s">
        <v>229</v>
      </c>
      <c r="G699" t="s">
        <v>230</v>
      </c>
      <c r="H699">
        <v>-32</v>
      </c>
      <c r="I699">
        <f>SUMIF($D$2:D699, D699, $H$2:H699)</f>
        <v>74</v>
      </c>
      <c r="J699" t="s">
        <v>61</v>
      </c>
      <c r="K699">
        <v>5400</v>
      </c>
      <c r="L699">
        <f>ABS(Tabela4[[#This Row],[Quantidade]]*Tabela4[[#This Row],[Valor Unitario]])</f>
        <v>172800</v>
      </c>
      <c r="M699" t="s">
        <v>616</v>
      </c>
    </row>
    <row r="700" spans="1:13" hidden="1" x14ac:dyDescent="0.25">
      <c r="A700" s="17">
        <v>46253</v>
      </c>
      <c r="B700" t="s">
        <v>679</v>
      </c>
      <c r="C700">
        <v>261</v>
      </c>
      <c r="D700">
        <v>2357</v>
      </c>
      <c r="E700" t="s">
        <v>91</v>
      </c>
      <c r="F700" t="s">
        <v>229</v>
      </c>
      <c r="G700" t="s">
        <v>230</v>
      </c>
      <c r="H700">
        <v>-68</v>
      </c>
      <c r="I700">
        <f>SUMIF($D$2:D700, D700, $H$2:H700)</f>
        <v>71</v>
      </c>
      <c r="J700" t="s">
        <v>61</v>
      </c>
      <c r="K700">
        <v>210</v>
      </c>
      <c r="L700">
        <f>ABS(Tabela4[[#This Row],[Quantidade]]*Tabela4[[#This Row],[Valor Unitario]])</f>
        <v>14280</v>
      </c>
      <c r="M700" t="s">
        <v>680</v>
      </c>
    </row>
    <row r="701" spans="1:13" hidden="1" x14ac:dyDescent="0.25">
      <c r="A701" s="17">
        <v>46253</v>
      </c>
      <c r="B701" t="s">
        <v>1671</v>
      </c>
      <c r="C701">
        <v>261</v>
      </c>
      <c r="D701">
        <v>9005</v>
      </c>
      <c r="E701" t="s">
        <v>163</v>
      </c>
      <c r="F701" t="s">
        <v>229</v>
      </c>
      <c r="G701" t="s">
        <v>230</v>
      </c>
      <c r="H701">
        <v>-27</v>
      </c>
      <c r="I701">
        <f>SUMIF($D$2:D701, D701, $H$2:H701)</f>
        <v>64</v>
      </c>
      <c r="J701" t="s">
        <v>61</v>
      </c>
      <c r="K701">
        <v>8.9</v>
      </c>
      <c r="L701">
        <f>ABS(Tabela4[[#This Row],[Quantidade]]*Tabela4[[#This Row],[Valor Unitario]])</f>
        <v>240.3</v>
      </c>
      <c r="M701" t="s">
        <v>1672</v>
      </c>
    </row>
    <row r="702" spans="1:13" hidden="1" x14ac:dyDescent="0.25">
      <c r="A702" s="17">
        <v>46254</v>
      </c>
      <c r="B702" t="s">
        <v>583</v>
      </c>
      <c r="C702">
        <v>261</v>
      </c>
      <c r="D702">
        <v>2011</v>
      </c>
      <c r="E702" t="s">
        <v>84</v>
      </c>
      <c r="F702" t="s">
        <v>229</v>
      </c>
      <c r="G702" t="s">
        <v>230</v>
      </c>
      <c r="H702">
        <v>-8</v>
      </c>
      <c r="I702">
        <f>SUMIF($D$2:D702, D702, $H$2:H702)</f>
        <v>2</v>
      </c>
      <c r="J702" t="s">
        <v>61</v>
      </c>
      <c r="K702">
        <v>9800</v>
      </c>
      <c r="L702">
        <f>ABS(Tabela4[[#This Row],[Quantidade]]*Tabela4[[#This Row],[Valor Unitario]])</f>
        <v>78400</v>
      </c>
      <c r="M702" t="s">
        <v>584</v>
      </c>
    </row>
    <row r="703" spans="1:13" x14ac:dyDescent="0.25">
      <c r="A703" s="17">
        <v>46254</v>
      </c>
      <c r="B703" t="s">
        <v>743</v>
      </c>
      <c r="C703">
        <v>261</v>
      </c>
      <c r="D703">
        <v>2359</v>
      </c>
      <c r="E703" t="s">
        <v>95</v>
      </c>
      <c r="F703" t="s">
        <v>229</v>
      </c>
      <c r="G703" t="s">
        <v>230</v>
      </c>
      <c r="H703">
        <v>-50</v>
      </c>
      <c r="I703">
        <f>SUMIF($D$2:D703, D703, $H$2:H703)</f>
        <v>51</v>
      </c>
      <c r="J703" t="s">
        <v>61</v>
      </c>
      <c r="K703">
        <v>1240</v>
      </c>
      <c r="L703">
        <f>ABS(Tabela4[[#This Row],[Quantidade]]*Tabela4[[#This Row],[Valor Unitario]])</f>
        <v>62000</v>
      </c>
      <c r="M703" t="s">
        <v>744</v>
      </c>
    </row>
    <row r="704" spans="1:13" hidden="1" x14ac:dyDescent="0.25">
      <c r="A704" s="17">
        <v>46254</v>
      </c>
      <c r="B704" t="s">
        <v>935</v>
      </c>
      <c r="C704">
        <v>261</v>
      </c>
      <c r="D704">
        <v>3004</v>
      </c>
      <c r="E704" t="s">
        <v>109</v>
      </c>
      <c r="F704" t="s">
        <v>229</v>
      </c>
      <c r="G704" t="s">
        <v>230</v>
      </c>
      <c r="H704">
        <v>-6</v>
      </c>
      <c r="I704">
        <f>SUMIF($D$2:D704, D704, $H$2:H704)</f>
        <v>263</v>
      </c>
      <c r="J704" t="s">
        <v>61</v>
      </c>
      <c r="K704">
        <v>2180</v>
      </c>
      <c r="L704">
        <f>ABS(Tabela4[[#This Row],[Quantidade]]*Tabela4[[#This Row],[Valor Unitario]])</f>
        <v>13080</v>
      </c>
      <c r="M704" t="s">
        <v>936</v>
      </c>
    </row>
    <row r="705" spans="1:13" hidden="1" x14ac:dyDescent="0.25">
      <c r="A705" s="17">
        <v>46254</v>
      </c>
      <c r="B705" t="s">
        <v>1511</v>
      </c>
      <c r="C705">
        <v>261</v>
      </c>
      <c r="D705">
        <v>8002</v>
      </c>
      <c r="E705" t="s">
        <v>151</v>
      </c>
      <c r="F705" t="s">
        <v>229</v>
      </c>
      <c r="G705" t="s">
        <v>230</v>
      </c>
      <c r="H705">
        <v>-26</v>
      </c>
      <c r="I705">
        <f>SUMIF($D$2:D705, D705, $H$2:H705)</f>
        <v>26</v>
      </c>
      <c r="J705" t="s">
        <v>152</v>
      </c>
      <c r="K705">
        <v>32</v>
      </c>
      <c r="L705">
        <f>ABS(Tabela4[[#This Row],[Quantidade]]*Tabela4[[#This Row],[Valor Unitario]])</f>
        <v>832</v>
      </c>
      <c r="M705" t="s">
        <v>1512</v>
      </c>
    </row>
    <row r="706" spans="1:13" hidden="1" x14ac:dyDescent="0.25">
      <c r="A706" s="17">
        <v>46255</v>
      </c>
      <c r="B706" t="s">
        <v>711</v>
      </c>
      <c r="C706">
        <v>261</v>
      </c>
      <c r="D706">
        <v>2358</v>
      </c>
      <c r="E706" t="s">
        <v>93</v>
      </c>
      <c r="F706" t="s">
        <v>229</v>
      </c>
      <c r="G706" t="s">
        <v>230</v>
      </c>
      <c r="H706">
        <v>-64</v>
      </c>
      <c r="I706">
        <f>SUMIF($D$2:D706, D706, $H$2:H706)</f>
        <v>47</v>
      </c>
      <c r="J706" t="s">
        <v>61</v>
      </c>
      <c r="K706">
        <v>890</v>
      </c>
      <c r="L706">
        <f>ABS(Tabela4[[#This Row],[Quantidade]]*Tabela4[[#This Row],[Valor Unitario]])</f>
        <v>56960</v>
      </c>
      <c r="M706" t="s">
        <v>712</v>
      </c>
    </row>
    <row r="707" spans="1:13" hidden="1" x14ac:dyDescent="0.25">
      <c r="A707" s="17">
        <v>46255</v>
      </c>
      <c r="B707" t="s">
        <v>1383</v>
      </c>
      <c r="C707">
        <v>261</v>
      </c>
      <c r="D707">
        <v>7001</v>
      </c>
      <c r="E707" t="s">
        <v>140</v>
      </c>
      <c r="F707" t="s">
        <v>229</v>
      </c>
      <c r="G707" t="s">
        <v>230</v>
      </c>
      <c r="H707">
        <v>-27</v>
      </c>
      <c r="I707">
        <f>SUMIF($D$2:D707, D707, $H$2:H707)</f>
        <v>70</v>
      </c>
      <c r="J707" t="s">
        <v>61</v>
      </c>
      <c r="K707">
        <v>210</v>
      </c>
      <c r="L707">
        <f>ABS(Tabela4[[#This Row],[Quantidade]]*Tabela4[[#This Row],[Valor Unitario]])</f>
        <v>5670</v>
      </c>
      <c r="M707" t="s">
        <v>1384</v>
      </c>
    </row>
    <row r="708" spans="1:13" hidden="1" x14ac:dyDescent="0.25">
      <c r="A708" s="17">
        <v>46256</v>
      </c>
      <c r="B708" t="s">
        <v>807</v>
      </c>
      <c r="C708">
        <v>261</v>
      </c>
      <c r="D708">
        <v>2361</v>
      </c>
      <c r="E708" t="s">
        <v>99</v>
      </c>
      <c r="F708" t="s">
        <v>229</v>
      </c>
      <c r="G708" t="s">
        <v>230</v>
      </c>
      <c r="H708">
        <v>-64</v>
      </c>
      <c r="I708">
        <f>SUMIF($D$2:D708, D708, $H$2:H708)</f>
        <v>33</v>
      </c>
      <c r="J708" t="s">
        <v>61</v>
      </c>
      <c r="K708">
        <v>68</v>
      </c>
      <c r="L708">
        <f>ABS(Tabela4[[#This Row],[Quantidade]]*Tabela4[[#This Row],[Valor Unitario]])</f>
        <v>4352</v>
      </c>
      <c r="M708" t="s">
        <v>808</v>
      </c>
    </row>
    <row r="709" spans="1:13" hidden="1" x14ac:dyDescent="0.25">
      <c r="A709" s="17">
        <v>46256</v>
      </c>
      <c r="B709" t="s">
        <v>967</v>
      </c>
      <c r="C709">
        <v>261</v>
      </c>
      <c r="D709">
        <v>4001</v>
      </c>
      <c r="E709" t="s">
        <v>111</v>
      </c>
      <c r="F709" t="s">
        <v>229</v>
      </c>
      <c r="G709" t="s">
        <v>230</v>
      </c>
      <c r="H709">
        <v>-76</v>
      </c>
      <c r="I709">
        <f>SUMIF($D$2:D709, D709, $H$2:H709)</f>
        <v>35</v>
      </c>
      <c r="J709" t="s">
        <v>61</v>
      </c>
      <c r="K709">
        <v>3200</v>
      </c>
      <c r="L709">
        <f>ABS(Tabela4[[#This Row],[Quantidade]]*Tabela4[[#This Row],[Valor Unitario]])</f>
        <v>243200</v>
      </c>
      <c r="M709" t="s">
        <v>968</v>
      </c>
    </row>
    <row r="710" spans="1:13" hidden="1" x14ac:dyDescent="0.25">
      <c r="A710" s="17">
        <v>46256</v>
      </c>
      <c r="B710" t="s">
        <v>1127</v>
      </c>
      <c r="C710">
        <v>261</v>
      </c>
      <c r="D710">
        <v>5004</v>
      </c>
      <c r="E710" t="s">
        <v>123</v>
      </c>
      <c r="F710" t="s">
        <v>229</v>
      </c>
      <c r="G710" t="s">
        <v>230</v>
      </c>
      <c r="H710">
        <v>-4</v>
      </c>
      <c r="I710">
        <f>SUMIF($D$2:D710, D710, $H$2:H710)</f>
        <v>66</v>
      </c>
      <c r="J710" t="s">
        <v>61</v>
      </c>
      <c r="K710">
        <v>1350</v>
      </c>
      <c r="L710">
        <f>ABS(Tabela4[[#This Row],[Quantidade]]*Tabela4[[#This Row],[Valor Unitario]])</f>
        <v>5400</v>
      </c>
      <c r="M710" t="s">
        <v>1128</v>
      </c>
    </row>
    <row r="711" spans="1:13" hidden="1" x14ac:dyDescent="0.25">
      <c r="A711" s="17">
        <v>46256</v>
      </c>
      <c r="B711" t="s">
        <v>1351</v>
      </c>
      <c r="C711">
        <v>261</v>
      </c>
      <c r="D711">
        <v>6004</v>
      </c>
      <c r="E711" t="s">
        <v>138</v>
      </c>
      <c r="F711" t="s">
        <v>229</v>
      </c>
      <c r="G711" t="s">
        <v>230</v>
      </c>
      <c r="H711">
        <v>-72</v>
      </c>
      <c r="I711">
        <f>SUMIF($D$2:D711, D711, $H$2:H711)</f>
        <v>265</v>
      </c>
      <c r="J711" t="s">
        <v>61</v>
      </c>
      <c r="K711">
        <v>2650</v>
      </c>
      <c r="L711">
        <f>ABS(Tabela4[[#This Row],[Quantidade]]*Tabela4[[#This Row],[Valor Unitario]])</f>
        <v>190800</v>
      </c>
      <c r="M711" t="s">
        <v>1352</v>
      </c>
    </row>
    <row r="712" spans="1:13" hidden="1" x14ac:dyDescent="0.25">
      <c r="A712" s="17">
        <v>46256</v>
      </c>
      <c r="B712" t="s">
        <v>1639</v>
      </c>
      <c r="C712">
        <v>261</v>
      </c>
      <c r="D712">
        <v>9004</v>
      </c>
      <c r="E712" t="s">
        <v>161</v>
      </c>
      <c r="F712" t="s">
        <v>229</v>
      </c>
      <c r="G712" t="s">
        <v>230</v>
      </c>
      <c r="H712">
        <v>-66</v>
      </c>
      <c r="I712">
        <f>SUMIF($D$2:D712, D712, $H$2:H712)</f>
        <v>55</v>
      </c>
      <c r="J712" t="s">
        <v>61</v>
      </c>
      <c r="K712">
        <v>45</v>
      </c>
      <c r="L712">
        <f>ABS(Tabela4[[#This Row],[Quantidade]]*Tabela4[[#This Row],[Valor Unitario]])</f>
        <v>2970</v>
      </c>
      <c r="M712" t="s">
        <v>1640</v>
      </c>
    </row>
    <row r="713" spans="1:13" hidden="1" x14ac:dyDescent="0.25">
      <c r="A713" s="17">
        <v>46257</v>
      </c>
      <c r="B713" t="s">
        <v>423</v>
      </c>
      <c r="C713">
        <v>261</v>
      </c>
      <c r="D713">
        <v>2006</v>
      </c>
      <c r="E713" t="s">
        <v>74</v>
      </c>
      <c r="F713" t="s">
        <v>229</v>
      </c>
      <c r="G713" t="s">
        <v>230</v>
      </c>
      <c r="H713">
        <v>-27</v>
      </c>
      <c r="I713">
        <f>SUMIF($D$2:D713, D713, $H$2:H713)</f>
        <v>40</v>
      </c>
      <c r="J713" t="s">
        <v>61</v>
      </c>
      <c r="K713">
        <v>2870</v>
      </c>
      <c r="L713">
        <f>ABS(Tabela4[[#This Row],[Quantidade]]*Tabela4[[#This Row],[Valor Unitario]])</f>
        <v>77490</v>
      </c>
      <c r="M713" t="s">
        <v>424</v>
      </c>
    </row>
    <row r="714" spans="1:13" hidden="1" x14ac:dyDescent="0.25">
      <c r="A714" s="17">
        <v>46257</v>
      </c>
      <c r="B714" t="s">
        <v>519</v>
      </c>
      <c r="C714">
        <v>261</v>
      </c>
      <c r="D714">
        <v>2009</v>
      </c>
      <c r="E714" t="s">
        <v>80</v>
      </c>
      <c r="F714" t="s">
        <v>229</v>
      </c>
      <c r="G714" t="s">
        <v>230</v>
      </c>
      <c r="H714">
        <v>-15</v>
      </c>
      <c r="I714">
        <f>SUMIF($D$2:D714, D714, $H$2:H714)</f>
        <v>99</v>
      </c>
      <c r="J714" t="s">
        <v>61</v>
      </c>
      <c r="K714">
        <v>1650</v>
      </c>
      <c r="L714">
        <f>ABS(Tabela4[[#This Row],[Quantidade]]*Tabela4[[#This Row],[Valor Unitario]])</f>
        <v>24750</v>
      </c>
      <c r="M714" t="s">
        <v>520</v>
      </c>
    </row>
    <row r="715" spans="1:13" hidden="1" x14ac:dyDescent="0.25">
      <c r="A715" s="17">
        <v>46257</v>
      </c>
      <c r="B715" t="s">
        <v>551</v>
      </c>
      <c r="C715">
        <v>261</v>
      </c>
      <c r="D715">
        <v>2010</v>
      </c>
      <c r="E715" t="s">
        <v>82</v>
      </c>
      <c r="F715" t="s">
        <v>229</v>
      </c>
      <c r="G715" t="s">
        <v>230</v>
      </c>
      <c r="H715">
        <v>-54</v>
      </c>
      <c r="I715">
        <f>SUMIF($D$2:D715, D715, $H$2:H715)</f>
        <v>40</v>
      </c>
      <c r="J715" t="s">
        <v>61</v>
      </c>
      <c r="K715">
        <v>2150</v>
      </c>
      <c r="L715">
        <f>ABS(Tabela4[[#This Row],[Quantidade]]*Tabela4[[#This Row],[Valor Unitario]])</f>
        <v>116100</v>
      </c>
      <c r="M715" t="s">
        <v>552</v>
      </c>
    </row>
    <row r="716" spans="1:13" hidden="1" x14ac:dyDescent="0.25">
      <c r="A716" s="17">
        <v>46257</v>
      </c>
      <c r="B716" t="s">
        <v>647</v>
      </c>
      <c r="C716">
        <v>261</v>
      </c>
      <c r="D716">
        <v>2356</v>
      </c>
      <c r="E716" t="s">
        <v>88</v>
      </c>
      <c r="F716" t="s">
        <v>229</v>
      </c>
      <c r="G716" t="s">
        <v>230</v>
      </c>
      <c r="H716">
        <v>-24</v>
      </c>
      <c r="I716">
        <f>SUMIF($D$2:D716, D716, $H$2:H716)</f>
        <v>108</v>
      </c>
      <c r="J716" t="s">
        <v>61</v>
      </c>
      <c r="K716">
        <v>145</v>
      </c>
      <c r="L716">
        <f>ABS(Tabela4[[#This Row],[Quantidade]]*Tabela4[[#This Row],[Valor Unitario]])</f>
        <v>3480</v>
      </c>
      <c r="M716" t="s">
        <v>648</v>
      </c>
    </row>
    <row r="717" spans="1:13" hidden="1" x14ac:dyDescent="0.25">
      <c r="A717" s="17">
        <v>46257</v>
      </c>
      <c r="B717" t="s">
        <v>839</v>
      </c>
      <c r="C717">
        <v>261</v>
      </c>
      <c r="D717">
        <v>3001</v>
      </c>
      <c r="E717" t="s">
        <v>101</v>
      </c>
      <c r="F717" t="s">
        <v>229</v>
      </c>
      <c r="G717" t="s">
        <v>230</v>
      </c>
      <c r="H717">
        <v>-19</v>
      </c>
      <c r="I717">
        <f>SUMIF($D$2:D717, D717, $H$2:H717)</f>
        <v>199</v>
      </c>
      <c r="J717" t="s">
        <v>103</v>
      </c>
      <c r="K717">
        <v>320</v>
      </c>
      <c r="L717">
        <f>ABS(Tabela4[[#This Row],[Quantidade]]*Tabela4[[#This Row],[Valor Unitario]])</f>
        <v>6080</v>
      </c>
      <c r="M717" t="s">
        <v>840</v>
      </c>
    </row>
    <row r="718" spans="1:13" hidden="1" x14ac:dyDescent="0.25">
      <c r="A718" s="17">
        <v>46257</v>
      </c>
      <c r="B718" t="s">
        <v>999</v>
      </c>
      <c r="C718">
        <v>261</v>
      </c>
      <c r="D718">
        <v>4002</v>
      </c>
      <c r="E718" t="s">
        <v>114</v>
      </c>
      <c r="F718" t="s">
        <v>229</v>
      </c>
      <c r="G718" t="s">
        <v>230</v>
      </c>
      <c r="H718">
        <v>-66</v>
      </c>
      <c r="I718">
        <f>SUMIF($D$2:D718, D718, $H$2:H718)</f>
        <v>73</v>
      </c>
      <c r="J718" t="s">
        <v>61</v>
      </c>
      <c r="K718">
        <v>4100</v>
      </c>
      <c r="L718">
        <f>ABS(Tabela4[[#This Row],[Quantidade]]*Tabela4[[#This Row],[Valor Unitario]])</f>
        <v>270600</v>
      </c>
      <c r="M718" t="s">
        <v>1000</v>
      </c>
    </row>
    <row r="719" spans="1:13" hidden="1" x14ac:dyDescent="0.25">
      <c r="A719" s="17">
        <v>46257</v>
      </c>
      <c r="B719" t="s">
        <v>1159</v>
      </c>
      <c r="C719">
        <v>261</v>
      </c>
      <c r="D719">
        <v>5005</v>
      </c>
      <c r="E719" t="s">
        <v>125</v>
      </c>
      <c r="F719" t="s">
        <v>229</v>
      </c>
      <c r="G719" t="s">
        <v>230</v>
      </c>
      <c r="H719">
        <v>-26</v>
      </c>
      <c r="I719">
        <f>SUMIF($D$2:D719, D719, $H$2:H719)</f>
        <v>141</v>
      </c>
      <c r="J719" t="s">
        <v>61</v>
      </c>
      <c r="K719">
        <v>780</v>
      </c>
      <c r="L719">
        <f>ABS(Tabela4[[#This Row],[Quantidade]]*Tabela4[[#This Row],[Valor Unitario]])</f>
        <v>20280</v>
      </c>
      <c r="M719" t="s">
        <v>1160</v>
      </c>
    </row>
    <row r="720" spans="1:13" hidden="1" x14ac:dyDescent="0.25">
      <c r="A720" s="17">
        <v>46257</v>
      </c>
      <c r="B720" t="s">
        <v>1223</v>
      </c>
      <c r="C720">
        <v>261</v>
      </c>
      <c r="D720">
        <v>5007</v>
      </c>
      <c r="E720" t="s">
        <v>129</v>
      </c>
      <c r="F720" t="s">
        <v>229</v>
      </c>
      <c r="G720" t="s">
        <v>230</v>
      </c>
      <c r="H720">
        <v>-6</v>
      </c>
      <c r="I720">
        <f>SUMIF($D$2:D720, D720, $H$2:H720)</f>
        <v>32</v>
      </c>
      <c r="J720" t="s">
        <v>61</v>
      </c>
      <c r="K720">
        <v>340</v>
      </c>
      <c r="L720">
        <f>ABS(Tabela4[[#This Row],[Quantidade]]*Tabela4[[#This Row],[Valor Unitario]])</f>
        <v>2040</v>
      </c>
      <c r="M720" t="s">
        <v>1224</v>
      </c>
    </row>
    <row r="721" spans="1:13" hidden="1" x14ac:dyDescent="0.25">
      <c r="A721" s="17">
        <v>46257</v>
      </c>
      <c r="B721" t="s">
        <v>1479</v>
      </c>
      <c r="C721">
        <v>261</v>
      </c>
      <c r="D721">
        <v>8001</v>
      </c>
      <c r="E721" t="s">
        <v>147</v>
      </c>
      <c r="F721" t="s">
        <v>229</v>
      </c>
      <c r="G721" t="s">
        <v>230</v>
      </c>
      <c r="H721">
        <v>-53</v>
      </c>
      <c r="I721">
        <f>SUMIF($D$2:D721, D721, $H$2:H721)</f>
        <v>55</v>
      </c>
      <c r="J721" t="s">
        <v>149</v>
      </c>
      <c r="K721">
        <v>28</v>
      </c>
      <c r="L721">
        <f>ABS(Tabela4[[#This Row],[Quantidade]]*Tabela4[[#This Row],[Valor Unitario]])</f>
        <v>1484</v>
      </c>
      <c r="M721" t="s">
        <v>1480</v>
      </c>
    </row>
  </sheetData>
  <pageMargins left="0.75" right="0.75" top="1" bottom="1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zoomScaleNormal="100" workbookViewId="0">
      <pane ySplit="1" topLeftCell="A6" activePane="bottomLeft" state="frozen"/>
      <selection pane="bottomLeft" activeCell="H38" sqref="H38"/>
    </sheetView>
  </sheetViews>
  <sheetFormatPr defaultColWidth="8.7109375" defaultRowHeight="15" x14ac:dyDescent="0.25"/>
  <cols>
    <col min="1" max="1" width="17.28515625" customWidth="1"/>
    <col min="2" max="2" width="30" customWidth="1"/>
    <col min="3" max="3" width="12.85546875" bestFit="1" customWidth="1"/>
    <col min="4" max="4" width="19.7109375" bestFit="1" customWidth="1"/>
    <col min="5" max="5" width="26.85546875" bestFit="1" customWidth="1"/>
    <col min="6" max="6" width="13.5703125" style="8" customWidth="1"/>
    <col min="7" max="7" width="13.5703125" customWidth="1"/>
    <col min="8" max="8" width="21.85546875" bestFit="1" customWidth="1"/>
    <col min="9" max="9" width="16.7109375" customWidth="1"/>
  </cols>
  <sheetData>
    <row r="1" spans="1:9" ht="15" customHeight="1" x14ac:dyDescent="0.25">
      <c r="A1" s="30" t="s">
        <v>1687</v>
      </c>
      <c r="B1" s="30" t="s">
        <v>222</v>
      </c>
      <c r="C1" s="30" t="s">
        <v>1689</v>
      </c>
      <c r="D1" s="30" t="s">
        <v>1686</v>
      </c>
      <c r="E1" s="30" t="s">
        <v>42</v>
      </c>
      <c r="F1" s="42" t="s">
        <v>181</v>
      </c>
      <c r="G1" s="13" t="s">
        <v>182</v>
      </c>
      <c r="H1" s="13" t="s">
        <v>183</v>
      </c>
      <c r="I1" s="13" t="s">
        <v>184</v>
      </c>
    </row>
    <row r="2" spans="1:9" ht="15" customHeight="1" x14ac:dyDescent="0.25">
      <c r="A2">
        <v>2005</v>
      </c>
      <c r="B2" t="str">
        <f>IFERROR(INDEX(Materiais!$B:$B,MATCH(A2,Materiais!$A:$A,0)),"")</f>
        <v>Chapa Blindada Lateral</v>
      </c>
      <c r="C2">
        <v>450002304</v>
      </c>
      <c r="D2" t="s">
        <v>1681</v>
      </c>
      <c r="E2" s="34" t="s">
        <v>1682</v>
      </c>
      <c r="F2" s="8">
        <v>46218</v>
      </c>
      <c r="G2">
        <v>8</v>
      </c>
      <c r="H2" t="s">
        <v>185</v>
      </c>
      <c r="I2" t="str">
        <f t="shared" ref="I2:I32" ca="1" si="0">IF(H2="Convertida","-",TODAY()-F2)</f>
        <v>-</v>
      </c>
    </row>
    <row r="3" spans="1:9" ht="15" customHeight="1" x14ac:dyDescent="0.25">
      <c r="A3">
        <v>2011</v>
      </c>
      <c r="B3" t="str">
        <f>IFERROR(INDEX(Materiais!$B:$B,MATCH(A3,Materiais!$A:$A,0)),"")</f>
        <v>Volante de Inercia</v>
      </c>
      <c r="C3">
        <v>450002310</v>
      </c>
      <c r="D3" t="s">
        <v>1681</v>
      </c>
      <c r="E3" s="34" t="s">
        <v>1682</v>
      </c>
      <c r="F3" s="8">
        <v>46194</v>
      </c>
      <c r="G3">
        <v>2</v>
      </c>
      <c r="H3" t="s">
        <v>185</v>
      </c>
      <c r="I3" t="str">
        <f t="shared" ca="1" si="0"/>
        <v>-</v>
      </c>
    </row>
    <row r="4" spans="1:9" ht="15" customHeight="1" x14ac:dyDescent="0.25">
      <c r="A4">
        <v>2360</v>
      </c>
      <c r="B4" t="str">
        <f>IFERROR(INDEX(Materiais!$B:$B,MATCH(A4,Materiais!$A:$A,0)),"")</f>
        <v>Rolamento Autocompensador 22222</v>
      </c>
      <c r="C4">
        <v>450002316</v>
      </c>
      <c r="D4" t="s">
        <v>1681</v>
      </c>
      <c r="E4" s="34" t="s">
        <v>1682</v>
      </c>
      <c r="F4" s="8">
        <v>46190</v>
      </c>
      <c r="G4">
        <v>7</v>
      </c>
      <c r="H4" t="s">
        <v>185</v>
      </c>
      <c r="I4" t="str">
        <f t="shared" ca="1" si="0"/>
        <v>-</v>
      </c>
    </row>
    <row r="5" spans="1:9" ht="15" customHeight="1" x14ac:dyDescent="0.25">
      <c r="A5">
        <v>4001</v>
      </c>
      <c r="B5" t="str">
        <f>IFERROR(INDEX(Materiais!$B:$B,MATCH(A5,Materiais!$A:$A,0)),"")</f>
        <v>Mola de Compressao</v>
      </c>
      <c r="C5">
        <v>450002322</v>
      </c>
      <c r="D5" t="s">
        <v>1681</v>
      </c>
      <c r="E5" s="34" t="s">
        <v>1682</v>
      </c>
      <c r="F5" s="8">
        <v>46199</v>
      </c>
      <c r="G5">
        <v>3</v>
      </c>
      <c r="H5" t="s">
        <v>186</v>
      </c>
      <c r="I5">
        <f t="shared" ca="1" si="0"/>
        <v>60</v>
      </c>
    </row>
    <row r="6" spans="1:9" ht="15" customHeight="1" x14ac:dyDescent="0.25">
      <c r="A6">
        <v>2006</v>
      </c>
      <c r="B6" t="str">
        <f>IFERROR(INDEX(Materiais!$B:$B,MATCH(A6,Materiais!$A:$A,0)),"")</f>
        <v>Chapa de Desgaste</v>
      </c>
      <c r="C6">
        <v>450002305</v>
      </c>
      <c r="D6" t="s">
        <v>1675</v>
      </c>
      <c r="E6" s="35" t="s">
        <v>176</v>
      </c>
      <c r="F6" s="8">
        <v>46221</v>
      </c>
      <c r="G6">
        <v>2</v>
      </c>
      <c r="H6" t="s">
        <v>188</v>
      </c>
      <c r="I6">
        <f t="shared" ca="1" si="0"/>
        <v>38</v>
      </c>
    </row>
    <row r="7" spans="1:9" ht="15" customHeight="1" x14ac:dyDescent="0.25">
      <c r="A7">
        <v>2001</v>
      </c>
      <c r="B7" t="str">
        <f>IFERROR(INDEX(Materiais!$B:$B,MATCH(A7,Materiais!$A:$A,0)),"")</f>
        <v>Mandibula Fixa do Britador</v>
      </c>
      <c r="C7">
        <v>450002300</v>
      </c>
      <c r="D7" t="s">
        <v>1675</v>
      </c>
      <c r="E7" s="34" t="s">
        <v>176</v>
      </c>
      <c r="F7" s="8">
        <v>45834</v>
      </c>
      <c r="G7">
        <v>8</v>
      </c>
      <c r="H7" t="s">
        <v>185</v>
      </c>
      <c r="I7" t="str">
        <f t="shared" ca="1" si="0"/>
        <v>-</v>
      </c>
    </row>
    <row r="8" spans="1:9" ht="15" customHeight="1" x14ac:dyDescent="0.25">
      <c r="A8">
        <v>2007</v>
      </c>
      <c r="B8" t="str">
        <f>IFERROR(INDEX(Materiais!$B:$B,MATCH(A8,Materiais!$A:$A,0)),"")</f>
        <v>Placa de Impacto</v>
      </c>
      <c r="C8">
        <v>450002306</v>
      </c>
      <c r="D8" t="s">
        <v>1675</v>
      </c>
      <c r="E8" s="34" t="s">
        <v>176</v>
      </c>
      <c r="F8" s="8">
        <v>46146</v>
      </c>
      <c r="G8">
        <v>4</v>
      </c>
      <c r="H8" t="s">
        <v>188</v>
      </c>
      <c r="I8">
        <f t="shared" ca="1" si="0"/>
        <v>113</v>
      </c>
    </row>
    <row r="9" spans="1:9" ht="15" customHeight="1" x14ac:dyDescent="0.25">
      <c r="A9">
        <v>2009</v>
      </c>
      <c r="B9" t="str">
        <f>IFERROR(INDEX(Materiais!$B:$B,MATCH(A9,Materiais!$A:$A,0)),"")</f>
        <v>Bucha de Bronze</v>
      </c>
      <c r="C9">
        <v>450002308</v>
      </c>
      <c r="D9" t="s">
        <v>1677</v>
      </c>
      <c r="E9" s="34" t="s">
        <v>1678</v>
      </c>
      <c r="F9" s="8">
        <v>46208</v>
      </c>
      <c r="G9">
        <v>5</v>
      </c>
      <c r="H9" t="s">
        <v>188</v>
      </c>
      <c r="I9">
        <f t="shared" ca="1" si="0"/>
        <v>51</v>
      </c>
    </row>
    <row r="10" spans="1:9" ht="15" customHeight="1" x14ac:dyDescent="0.25">
      <c r="A10">
        <v>2012</v>
      </c>
      <c r="B10" t="str">
        <f>IFERROR(INDEX(Materiais!$B:$B,MATCH(A10,Materiais!$A:$A,0)),"")</f>
        <v>Grelha Vibratoria</v>
      </c>
      <c r="C10">
        <v>450002311</v>
      </c>
      <c r="D10" t="s">
        <v>1675</v>
      </c>
      <c r="E10" s="35" t="s">
        <v>176</v>
      </c>
      <c r="F10" s="8">
        <v>46182</v>
      </c>
      <c r="G10">
        <v>5</v>
      </c>
      <c r="H10" t="s">
        <v>185</v>
      </c>
      <c r="I10" t="str">
        <f t="shared" ca="1" si="0"/>
        <v>-</v>
      </c>
    </row>
    <row r="11" spans="1:9" ht="15" customHeight="1" x14ac:dyDescent="0.25">
      <c r="A11">
        <v>2356</v>
      </c>
      <c r="B11" t="str">
        <f>IFERROR(INDEX(Materiais!$B:$B,MATCH(A11,Materiais!$A:$A,0)),"")</f>
        <v>Rolamento 6205</v>
      </c>
      <c r="C11">
        <v>450002312</v>
      </c>
      <c r="D11" t="s">
        <v>1675</v>
      </c>
      <c r="E11" s="34" t="s">
        <v>176</v>
      </c>
      <c r="F11" s="8">
        <v>46150</v>
      </c>
      <c r="G11">
        <v>2</v>
      </c>
      <c r="H11" t="s">
        <v>186</v>
      </c>
      <c r="I11">
        <f t="shared" ca="1" si="0"/>
        <v>109</v>
      </c>
    </row>
    <row r="12" spans="1:9" ht="15" customHeight="1" x14ac:dyDescent="0.25">
      <c r="A12">
        <v>2361</v>
      </c>
      <c r="B12" t="str">
        <f>IFERROR(INDEX(Materiais!$B:$B,MATCH(A12,Materiais!$A:$A,0)),"")</f>
        <v>Retentor de Vedacao</v>
      </c>
      <c r="C12">
        <v>450002317</v>
      </c>
      <c r="D12" t="s">
        <v>1675</v>
      </c>
      <c r="E12" s="35" t="s">
        <v>176</v>
      </c>
      <c r="F12" s="8">
        <v>46151</v>
      </c>
      <c r="G12">
        <v>4</v>
      </c>
      <c r="H12" t="s">
        <v>186</v>
      </c>
      <c r="I12">
        <f t="shared" ca="1" si="0"/>
        <v>108</v>
      </c>
    </row>
    <row r="13" spans="1:9" ht="15" customHeight="1" x14ac:dyDescent="0.25">
      <c r="A13">
        <v>3001</v>
      </c>
      <c r="B13" t="str">
        <f>IFERROR(INDEX(Materiais!$B:$B,MATCH(A13,Materiais!$A:$A,0)),"")</f>
        <v>Correia Transportadora B-1200</v>
      </c>
      <c r="C13">
        <v>450002318</v>
      </c>
      <c r="D13" t="s">
        <v>1675</v>
      </c>
      <c r="E13" s="34" t="s">
        <v>176</v>
      </c>
      <c r="F13" s="8">
        <v>46185</v>
      </c>
      <c r="G13">
        <v>6</v>
      </c>
      <c r="H13" t="s">
        <v>188</v>
      </c>
      <c r="I13">
        <f t="shared" ca="1" si="0"/>
        <v>74</v>
      </c>
    </row>
    <row r="14" spans="1:9" ht="15" customHeight="1" x14ac:dyDescent="0.25">
      <c r="A14">
        <v>4002</v>
      </c>
      <c r="B14" t="str">
        <f>IFERROR(INDEX(Materiais!$B:$B,MATCH(A14,Materiais!$A:$A,0)),"")</f>
        <v>Amortecedor de Impacto</v>
      </c>
      <c r="C14">
        <v>450002323</v>
      </c>
      <c r="D14" t="s">
        <v>1675</v>
      </c>
      <c r="E14" s="35" t="s">
        <v>176</v>
      </c>
      <c r="F14" s="8">
        <v>46224</v>
      </c>
      <c r="G14">
        <v>7</v>
      </c>
      <c r="H14" t="s">
        <v>187</v>
      </c>
      <c r="I14">
        <f t="shared" ca="1" si="0"/>
        <v>35</v>
      </c>
    </row>
    <row r="15" spans="1:9" ht="15" customHeight="1" x14ac:dyDescent="0.25">
      <c r="A15">
        <v>5001</v>
      </c>
      <c r="B15" t="str">
        <f>IFERROR(INDEX(Materiais!$B:$B,MATCH(A15,Materiais!$A:$A,0)),"")</f>
        <v>Motor Eletrico 150cv</v>
      </c>
      <c r="C15">
        <v>450002324</v>
      </c>
      <c r="D15" t="s">
        <v>1675</v>
      </c>
      <c r="E15" s="34" t="s">
        <v>176</v>
      </c>
      <c r="F15" s="8">
        <v>46169</v>
      </c>
      <c r="G15">
        <v>5</v>
      </c>
      <c r="H15" t="s">
        <v>188</v>
      </c>
      <c r="I15">
        <f t="shared" ca="1" si="0"/>
        <v>90</v>
      </c>
    </row>
    <row r="16" spans="1:9" ht="15" customHeight="1" x14ac:dyDescent="0.25">
      <c r="A16">
        <v>5006</v>
      </c>
      <c r="B16" t="str">
        <f>IFERROR(INDEX(Materiais!$B:$B,MATCH(A16,Materiais!$A:$A,0)),"")</f>
        <v>Cabo Eletrico 4x10mm</v>
      </c>
      <c r="C16">
        <v>450002329</v>
      </c>
      <c r="D16" t="s">
        <v>1675</v>
      </c>
      <c r="E16" s="35" t="s">
        <v>176</v>
      </c>
      <c r="F16" s="8">
        <v>46143</v>
      </c>
      <c r="G16">
        <v>6</v>
      </c>
      <c r="H16" t="s">
        <v>186</v>
      </c>
      <c r="I16">
        <f t="shared" ca="1" si="0"/>
        <v>116</v>
      </c>
    </row>
    <row r="17" spans="1:9" ht="15" customHeight="1" x14ac:dyDescent="0.25">
      <c r="A17">
        <v>2004</v>
      </c>
      <c r="B17" t="str">
        <f>IFERROR(INDEX(Materiais!$B:$B,MATCH(A17,Materiais!$A:$A,0)),"")</f>
        <v>Revestimento Manto</v>
      </c>
      <c r="C17">
        <v>450002303</v>
      </c>
      <c r="D17" t="s">
        <v>1679</v>
      </c>
      <c r="E17" s="35" t="s">
        <v>1680</v>
      </c>
      <c r="F17" s="8">
        <v>46199</v>
      </c>
      <c r="G17">
        <v>2</v>
      </c>
      <c r="H17" t="s">
        <v>187</v>
      </c>
      <c r="I17">
        <f t="shared" ca="1" si="0"/>
        <v>60</v>
      </c>
    </row>
    <row r="18" spans="1:9" ht="15" customHeight="1" x14ac:dyDescent="0.25">
      <c r="A18">
        <v>2010</v>
      </c>
      <c r="B18" t="str">
        <f>IFERROR(INDEX(Materiais!$B:$B,MATCH(A18,Materiais!$A:$A,0)),"")</f>
        <v>Bucha Excentrica</v>
      </c>
      <c r="C18">
        <v>450002309</v>
      </c>
      <c r="D18" t="s">
        <v>1679</v>
      </c>
      <c r="E18" s="35" t="s">
        <v>1680</v>
      </c>
      <c r="F18" s="8">
        <v>46142</v>
      </c>
      <c r="G18">
        <v>8</v>
      </c>
      <c r="H18" t="s">
        <v>185</v>
      </c>
      <c r="I18" t="str">
        <f t="shared" ca="1" si="0"/>
        <v>-</v>
      </c>
    </row>
    <row r="19" spans="1:9" ht="15" customHeight="1" x14ac:dyDescent="0.25">
      <c r="A19">
        <v>2359</v>
      </c>
      <c r="B19" t="str">
        <f>IFERROR(INDEX(Materiais!$B:$B,MATCH(A19,Materiais!$A:$A,0)),"")</f>
        <v>Rolamento Esferico 22318</v>
      </c>
      <c r="C19">
        <v>450002315</v>
      </c>
      <c r="D19" t="s">
        <v>1679</v>
      </c>
      <c r="E19" s="35" t="s">
        <v>1680</v>
      </c>
      <c r="F19" s="8">
        <v>46168</v>
      </c>
      <c r="G19">
        <v>1</v>
      </c>
      <c r="H19" t="s">
        <v>185</v>
      </c>
      <c r="I19" t="str">
        <f t="shared" ca="1" si="0"/>
        <v>-</v>
      </c>
    </row>
    <row r="20" spans="1:9" ht="15" customHeight="1" x14ac:dyDescent="0.25">
      <c r="A20">
        <v>3004</v>
      </c>
      <c r="B20" t="str">
        <f>IFERROR(INDEX(Materiais!$B:$B,MATCH(A20,Materiais!$A:$A,0)),"")</f>
        <v>Polia Movida</v>
      </c>
      <c r="C20">
        <v>450002321</v>
      </c>
      <c r="D20" t="s">
        <v>1679</v>
      </c>
      <c r="E20" s="35" t="s">
        <v>1680</v>
      </c>
      <c r="F20" s="8">
        <v>46201</v>
      </c>
      <c r="G20">
        <v>3</v>
      </c>
      <c r="H20" t="s">
        <v>185</v>
      </c>
      <c r="I20" t="str">
        <f t="shared" ca="1" si="0"/>
        <v>-</v>
      </c>
    </row>
    <row r="21" spans="1:9" ht="15" customHeight="1" x14ac:dyDescent="0.25">
      <c r="A21">
        <v>5004</v>
      </c>
      <c r="B21" t="str">
        <f>IFERROR(INDEX(Materiais!$B:$B,MATCH(A21,Materiais!$A:$A,0)),"")</f>
        <v>Sensor de Vibracao</v>
      </c>
      <c r="C21">
        <v>450002327</v>
      </c>
      <c r="D21" t="s">
        <v>1679</v>
      </c>
      <c r="E21" s="35" t="s">
        <v>1680</v>
      </c>
      <c r="F21" s="8">
        <v>46240</v>
      </c>
      <c r="G21">
        <v>5</v>
      </c>
      <c r="H21" t="s">
        <v>186</v>
      </c>
      <c r="I21">
        <f t="shared" ca="1" si="0"/>
        <v>19</v>
      </c>
    </row>
    <row r="22" spans="1:9" ht="15" customHeight="1" x14ac:dyDescent="0.25">
      <c r="A22">
        <v>2002</v>
      </c>
      <c r="B22" t="str">
        <f>IFERROR(INDEX(Materiais!$B:$B,MATCH(A22,Materiais!$A:$A,0)),"")</f>
        <v>Mandibula Movel do Britador</v>
      </c>
      <c r="C22">
        <v>450002301</v>
      </c>
      <c r="D22" t="s">
        <v>1676</v>
      </c>
      <c r="E22" s="35" t="s">
        <v>174</v>
      </c>
      <c r="F22" s="8">
        <v>45842</v>
      </c>
      <c r="G22">
        <v>4</v>
      </c>
      <c r="H22" t="s">
        <v>185</v>
      </c>
      <c r="I22" t="str">
        <f t="shared" ca="1" si="0"/>
        <v>-</v>
      </c>
    </row>
    <row r="23" spans="1:9" ht="15" customHeight="1" x14ac:dyDescent="0.25">
      <c r="A23">
        <v>2008</v>
      </c>
      <c r="B23" t="str">
        <f>IFERROR(INDEX(Materiais!$B:$B,MATCH(A23,Materiais!$A:$A,0)),"")</f>
        <v>Eixo Excentrico</v>
      </c>
      <c r="C23">
        <v>450002307</v>
      </c>
      <c r="D23" t="s">
        <v>1676</v>
      </c>
      <c r="E23" s="35" t="s">
        <v>174</v>
      </c>
      <c r="F23" s="8">
        <v>46241</v>
      </c>
      <c r="G23">
        <v>8</v>
      </c>
      <c r="H23" t="s">
        <v>186</v>
      </c>
      <c r="I23">
        <f t="shared" ca="1" si="0"/>
        <v>18</v>
      </c>
    </row>
    <row r="24" spans="1:9" ht="15" customHeight="1" x14ac:dyDescent="0.25">
      <c r="A24">
        <v>2357</v>
      </c>
      <c r="B24" t="str">
        <f>IFERROR(INDEX(Materiais!$B:$B,MATCH(A24,Materiais!$A:$A,0)),"")</f>
        <v>Rolamento 6308</v>
      </c>
      <c r="C24">
        <v>450002313</v>
      </c>
      <c r="D24" t="s">
        <v>1676</v>
      </c>
      <c r="E24" s="35" t="s">
        <v>174</v>
      </c>
      <c r="F24" s="8">
        <v>46155</v>
      </c>
      <c r="G24">
        <v>7</v>
      </c>
      <c r="H24" t="s">
        <v>185</v>
      </c>
      <c r="I24" t="str">
        <f t="shared" ca="1" si="0"/>
        <v>-</v>
      </c>
    </row>
    <row r="25" spans="1:9" ht="15" customHeight="1" x14ac:dyDescent="0.25">
      <c r="A25">
        <v>3002</v>
      </c>
      <c r="B25" t="str">
        <f>IFERROR(INDEX(Materiais!$B:$B,MATCH(A25,Materiais!$A:$A,0)),"")</f>
        <v>Correia em V A-75</v>
      </c>
      <c r="C25">
        <v>450002319</v>
      </c>
      <c r="D25" t="s">
        <v>1676</v>
      </c>
      <c r="E25" s="35" t="s">
        <v>174</v>
      </c>
      <c r="F25" s="8">
        <v>46194</v>
      </c>
      <c r="G25">
        <v>2</v>
      </c>
      <c r="H25" t="s">
        <v>185</v>
      </c>
      <c r="I25" t="str">
        <f t="shared" ca="1" si="0"/>
        <v>-</v>
      </c>
    </row>
    <row r="26" spans="1:9" ht="15" customHeight="1" x14ac:dyDescent="0.25">
      <c r="A26">
        <v>5002</v>
      </c>
      <c r="B26" t="str">
        <f>IFERROR(INDEX(Materiais!$B:$B,MATCH(A26,Materiais!$A:$A,0)),"")</f>
        <v>Motor Eletrico 75cv</v>
      </c>
      <c r="C26">
        <v>450002325</v>
      </c>
      <c r="D26" t="s">
        <v>1676</v>
      </c>
      <c r="E26" s="35" t="s">
        <v>174</v>
      </c>
      <c r="F26" s="8">
        <v>46168</v>
      </c>
      <c r="G26">
        <v>2</v>
      </c>
      <c r="H26" t="s">
        <v>188</v>
      </c>
      <c r="I26">
        <f t="shared" ca="1" si="0"/>
        <v>91</v>
      </c>
    </row>
    <row r="27" spans="1:9" ht="15" customHeight="1" x14ac:dyDescent="0.25">
      <c r="A27">
        <v>2003</v>
      </c>
      <c r="B27" t="str">
        <f>IFERROR(INDEX(Materiais!$B:$B,MATCH(A27,Materiais!$A:$A,0)),"")</f>
        <v>Revestimento Concavo</v>
      </c>
      <c r="C27">
        <v>450002302</v>
      </c>
      <c r="D27" t="s">
        <v>1677</v>
      </c>
      <c r="E27" s="34" t="s">
        <v>1678</v>
      </c>
      <c r="F27" s="8">
        <v>45879</v>
      </c>
      <c r="G27">
        <v>3</v>
      </c>
      <c r="H27" t="s">
        <v>186</v>
      </c>
      <c r="I27">
        <f t="shared" ca="1" si="0"/>
        <v>380</v>
      </c>
    </row>
    <row r="28" spans="1:9" ht="15" customHeight="1" x14ac:dyDescent="0.25">
      <c r="A28">
        <v>5003</v>
      </c>
      <c r="B28" t="str">
        <f>IFERROR(INDEX(Materiais!$B:$B,MATCH(A28,Materiais!$A:$A,0)),"")</f>
        <v>Painel de Comando</v>
      </c>
      <c r="C28">
        <v>450002326</v>
      </c>
      <c r="D28" t="s">
        <v>1677</v>
      </c>
      <c r="E28" s="34" t="s">
        <v>1678</v>
      </c>
      <c r="F28" s="8">
        <v>46160</v>
      </c>
      <c r="G28">
        <v>5</v>
      </c>
      <c r="H28" t="s">
        <v>188</v>
      </c>
      <c r="I28">
        <f t="shared" ca="1" si="0"/>
        <v>99</v>
      </c>
    </row>
    <row r="29" spans="1:9" ht="15" customHeight="1" x14ac:dyDescent="0.25">
      <c r="A29">
        <v>2358</v>
      </c>
      <c r="B29" t="str">
        <f>IFERROR(INDEX(Materiais!$B:$B,MATCH(A29,Materiais!$A:$A,0)),"")</f>
        <v>Rolamento de Rolos Conicos 32218</v>
      </c>
      <c r="C29">
        <v>450002314</v>
      </c>
      <c r="D29" t="s">
        <v>1677</v>
      </c>
      <c r="E29" s="34" t="s">
        <v>1678</v>
      </c>
      <c r="F29" s="8">
        <v>46144</v>
      </c>
      <c r="G29">
        <v>1</v>
      </c>
      <c r="H29" t="s">
        <v>185</v>
      </c>
      <c r="I29" t="str">
        <f t="shared" ca="1" si="0"/>
        <v>-</v>
      </c>
    </row>
    <row r="30" spans="1:9" ht="15" customHeight="1" x14ac:dyDescent="0.25">
      <c r="A30">
        <v>3003</v>
      </c>
      <c r="B30" t="str">
        <f>IFERROR(INDEX(Materiais!$B:$B,MATCH(A30,Materiais!$A:$A,0)),"")</f>
        <v>Polia Motora</v>
      </c>
      <c r="C30">
        <v>450002320</v>
      </c>
      <c r="D30" t="s">
        <v>1677</v>
      </c>
      <c r="E30" s="34" t="s">
        <v>1678</v>
      </c>
      <c r="F30" s="8">
        <v>46173</v>
      </c>
      <c r="G30">
        <v>1</v>
      </c>
      <c r="H30" t="s">
        <v>185</v>
      </c>
      <c r="I30" t="str">
        <f t="shared" ca="1" si="0"/>
        <v>-</v>
      </c>
    </row>
    <row r="31" spans="1:9" ht="15" customHeight="1" x14ac:dyDescent="0.25">
      <c r="A31">
        <v>5005</v>
      </c>
      <c r="B31" t="str">
        <f>IFERROR(INDEX(Materiais!$B:$B,MATCH(A31,Materiais!$A:$A,0)),"")</f>
        <v>Sensor de Temperatura</v>
      </c>
      <c r="C31">
        <v>450002328</v>
      </c>
      <c r="D31" t="s">
        <v>1681</v>
      </c>
      <c r="E31" s="34" t="s">
        <v>1682</v>
      </c>
      <c r="F31" s="8">
        <v>46151</v>
      </c>
      <c r="G31">
        <v>4</v>
      </c>
      <c r="H31" t="s">
        <v>188</v>
      </c>
      <c r="I31">
        <f t="shared" ca="1" si="0"/>
        <v>108</v>
      </c>
    </row>
    <row r="32" spans="1:9" x14ac:dyDescent="0.25">
      <c r="A32" s="14">
        <v>5005</v>
      </c>
      <c r="B32" s="14" t="str">
        <f>IFERROR(INDEX(Materiais!$B:$B,MATCH(A32,Materiais!$A:$A,0)),"")</f>
        <v>Sensor de Temperatura</v>
      </c>
      <c r="C32" s="14">
        <v>450002329</v>
      </c>
      <c r="D32" s="14" t="s">
        <v>1677</v>
      </c>
      <c r="E32" s="34" t="s">
        <v>1678</v>
      </c>
      <c r="F32" s="43">
        <v>46151</v>
      </c>
      <c r="G32" s="14">
        <v>4</v>
      </c>
      <c r="H32" s="14" t="s">
        <v>188</v>
      </c>
      <c r="I32" s="14">
        <f t="shared" ca="1" si="0"/>
        <v>108</v>
      </c>
    </row>
  </sheetData>
  <phoneticPr fontId="15" type="noConversion"/>
  <conditionalFormatting sqref="H2:H31">
    <cfRule type="expression" dxfId="5" priority="2">
      <formula>H2="Pendente"</formula>
    </cfRule>
    <cfRule type="expression" dxfId="4" priority="3">
      <formula>H2="Convertida"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7"/>
  <sheetViews>
    <sheetView zoomScale="80" zoomScaleNormal="80" workbookViewId="0">
      <pane ySplit="1" topLeftCell="A2" activePane="bottomLeft" state="frozen"/>
      <selection pane="bottomLeft" activeCell="I1" sqref="I1:I1048576"/>
    </sheetView>
  </sheetViews>
  <sheetFormatPr defaultColWidth="8.7109375" defaultRowHeight="15" x14ac:dyDescent="0.25"/>
  <cols>
    <col min="1" max="1" width="21" bestFit="1" customWidth="1"/>
    <col min="2" max="2" width="28" customWidth="1"/>
    <col min="3" max="3" width="13.42578125" customWidth="1"/>
    <col min="4" max="4" width="14.7109375" customWidth="1"/>
    <col min="5" max="5" width="18.5703125" customWidth="1"/>
    <col min="6" max="6" width="24" customWidth="1"/>
    <col min="7" max="7" width="13.5703125" customWidth="1"/>
    <col min="8" max="8" width="19.5703125" customWidth="1"/>
    <col min="9" max="9" width="16.7109375" customWidth="1"/>
    <col min="10" max="10" width="14.7109375" customWidth="1"/>
    <col min="11" max="11" width="19.42578125" customWidth="1"/>
    <col min="12" max="12" width="13" customWidth="1"/>
    <col min="13" max="13" width="17.7109375" customWidth="1"/>
    <col min="14" max="14" width="15.7109375" customWidth="1"/>
    <col min="15" max="15" width="16" bestFit="1" customWidth="1"/>
  </cols>
  <sheetData>
    <row r="1" spans="1:15" ht="27.75" customHeight="1" x14ac:dyDescent="0.25">
      <c r="A1" s="30" t="s">
        <v>1687</v>
      </c>
      <c r="B1" s="30" t="s">
        <v>222</v>
      </c>
      <c r="C1" s="30" t="s">
        <v>1688</v>
      </c>
      <c r="D1" s="13" t="s">
        <v>189</v>
      </c>
      <c r="E1" s="30" t="s">
        <v>1686</v>
      </c>
      <c r="F1" s="30" t="s">
        <v>42</v>
      </c>
      <c r="G1" s="13" t="s">
        <v>182</v>
      </c>
      <c r="H1" s="30" t="s">
        <v>226</v>
      </c>
      <c r="I1" s="30" t="s">
        <v>227</v>
      </c>
      <c r="J1" s="30" t="s">
        <v>190</v>
      </c>
      <c r="K1" s="30" t="s">
        <v>191</v>
      </c>
      <c r="L1" s="13" t="s">
        <v>183</v>
      </c>
      <c r="M1" s="13" t="s">
        <v>192</v>
      </c>
      <c r="N1" s="13" t="s">
        <v>193</v>
      </c>
      <c r="O1" s="19" t="s">
        <v>1674</v>
      </c>
    </row>
    <row r="2" spans="1:15" ht="15" customHeight="1" x14ac:dyDescent="0.25">
      <c r="A2" s="20">
        <v>2009</v>
      </c>
      <c r="B2" s="21" t="s">
        <v>80</v>
      </c>
      <c r="C2" s="20">
        <v>45000126</v>
      </c>
      <c r="D2" s="28">
        <v>46239</v>
      </c>
      <c r="E2" s="20" t="s">
        <v>1675</v>
      </c>
      <c r="F2" s="21" t="s">
        <v>176</v>
      </c>
      <c r="G2" s="22">
        <v>79</v>
      </c>
      <c r="H2" s="23">
        <v>1650</v>
      </c>
      <c r="I2" s="23">
        <f>Tabela3[[#This Row],[Quantidade]]*Tabela3[[#This Row],[Valor Unitario]]</f>
        <v>130350</v>
      </c>
      <c r="J2" s="28">
        <v>46246</v>
      </c>
      <c r="K2" s="28"/>
      <c r="L2" t="str">
        <f t="shared" ref="L2:L33" ca="1" si="0">IF(K2&lt;&gt;"","Recebido",IF(TODAY()&gt;J2,"Atrasado","Em Transito"))</f>
        <v>Atrasado</v>
      </c>
      <c r="M2" s="20" t="str">
        <f t="shared" ref="M2:M33" si="1">IF(K2="","",IF(K2&lt;=J2,"No Prazo","Atrasado"))</f>
        <v/>
      </c>
      <c r="N2" t="str">
        <f>IF(Tabela3[[#This Row],[Data Recebimento]]="","",Tabela3[[#This Row],[Data Recebimento]]-Tabela3[[#This Row],[Data Prevista]])</f>
        <v/>
      </c>
      <c r="O2" t="str">
        <f>IF(Tabela3[[#This Row],[Data Recebimento]]="","",Tabela3[[#This Row],[Data Recebimento]]-Tabela3[[#This Row],[Data Emissao]])</f>
        <v/>
      </c>
    </row>
    <row r="3" spans="1:15" ht="15" customHeight="1" x14ac:dyDescent="0.25">
      <c r="A3" s="24">
        <v>2002</v>
      </c>
      <c r="B3" s="25" t="s">
        <v>64</v>
      </c>
      <c r="C3" s="24">
        <v>45000103</v>
      </c>
      <c r="D3" s="29">
        <v>45665</v>
      </c>
      <c r="E3" s="24" t="s">
        <v>1676</v>
      </c>
      <c r="F3" s="25" t="s">
        <v>174</v>
      </c>
      <c r="G3" s="26">
        <v>63</v>
      </c>
      <c r="H3" s="27">
        <v>19800</v>
      </c>
      <c r="I3" s="27">
        <f>Tabela3[[#This Row],[Quantidade]]*Tabela3[[#This Row],[Valor Unitario]]</f>
        <v>1247400</v>
      </c>
      <c r="J3" s="28">
        <v>45672</v>
      </c>
      <c r="K3" s="28">
        <v>45675</v>
      </c>
      <c r="L3" t="str">
        <f t="shared" ca="1" si="0"/>
        <v>Recebido</v>
      </c>
      <c r="M3" s="20" t="str">
        <f t="shared" si="1"/>
        <v>Atrasado</v>
      </c>
      <c r="N3">
        <f>IF(Tabela3[[#This Row],[Data Recebimento]]="","",Tabela3[[#This Row],[Data Recebimento]]-Tabela3[[#This Row],[Data Prevista]])</f>
        <v>3</v>
      </c>
      <c r="O3">
        <f>IF(Tabela3[[#This Row],[Data Recebimento]]="","",Tabela3[[#This Row],[Data Recebimento]]-Tabela3[[#This Row],[Data Emissao]])</f>
        <v>10</v>
      </c>
    </row>
    <row r="4" spans="1:15" ht="15" customHeight="1" x14ac:dyDescent="0.25">
      <c r="A4" s="20">
        <v>2001</v>
      </c>
      <c r="B4" s="21" t="s">
        <v>59</v>
      </c>
      <c r="C4" s="20">
        <v>45000102</v>
      </c>
      <c r="D4" s="28">
        <v>45874</v>
      </c>
      <c r="E4" s="20" t="s">
        <v>1677</v>
      </c>
      <c r="F4" s="21" t="s">
        <v>1678</v>
      </c>
      <c r="G4" s="22">
        <v>87</v>
      </c>
      <c r="H4" s="23">
        <v>18500</v>
      </c>
      <c r="I4" s="23">
        <f>Tabela3[[#This Row],[Quantidade]]*Tabela3[[#This Row],[Valor Unitario]]</f>
        <v>1609500</v>
      </c>
      <c r="J4" s="28">
        <v>45881</v>
      </c>
      <c r="K4" s="28"/>
      <c r="L4" t="str">
        <f t="shared" ca="1" si="0"/>
        <v>Atrasado</v>
      </c>
      <c r="M4" s="20" t="str">
        <f t="shared" si="1"/>
        <v/>
      </c>
      <c r="N4" t="str">
        <f>IF(Tabela3[[#This Row],[Data Recebimento]]="","",Tabela3[[#This Row],[Data Recebimento]]-Tabela3[[#This Row],[Data Prevista]])</f>
        <v/>
      </c>
      <c r="O4" t="str">
        <f>IF(Tabela3[[#This Row],[Data Recebimento]]="","",Tabela3[[#This Row],[Data Recebimento]]-Tabela3[[#This Row],[Data Emissao]])</f>
        <v/>
      </c>
    </row>
    <row r="5" spans="1:15" ht="15" customHeight="1" x14ac:dyDescent="0.25">
      <c r="A5" s="20">
        <v>2003</v>
      </c>
      <c r="B5" s="21" t="s">
        <v>66</v>
      </c>
      <c r="C5" s="20">
        <v>45000106</v>
      </c>
      <c r="D5" s="28">
        <v>45667</v>
      </c>
      <c r="E5" s="20" t="s">
        <v>1677</v>
      </c>
      <c r="F5" s="21" t="s">
        <v>1678</v>
      </c>
      <c r="G5" s="22">
        <v>68</v>
      </c>
      <c r="H5" s="23">
        <v>12400</v>
      </c>
      <c r="I5" s="23">
        <f>Tabela3[[#This Row],[Quantidade]]*Tabela3[[#This Row],[Valor Unitario]]</f>
        <v>843200</v>
      </c>
      <c r="J5" s="28">
        <v>45674</v>
      </c>
      <c r="K5" s="28">
        <v>45674</v>
      </c>
      <c r="L5" t="str">
        <f t="shared" ca="1" si="0"/>
        <v>Recebido</v>
      </c>
      <c r="M5" s="20" t="str">
        <f t="shared" si="1"/>
        <v>No Prazo</v>
      </c>
      <c r="N5">
        <f>IF(Tabela3[[#This Row],[Data Recebimento]]="","",Tabela3[[#This Row],[Data Recebimento]]-Tabela3[[#This Row],[Data Prevista]])</f>
        <v>0</v>
      </c>
      <c r="O5">
        <f>IF(Tabela3[[#This Row],[Data Recebimento]]="","",Tabela3[[#This Row],[Data Recebimento]]-Tabela3[[#This Row],[Data Emissao]])</f>
        <v>7</v>
      </c>
    </row>
    <row r="6" spans="1:15" ht="15" customHeight="1" x14ac:dyDescent="0.25">
      <c r="A6" s="24">
        <v>2004</v>
      </c>
      <c r="B6" s="25" t="s">
        <v>69</v>
      </c>
      <c r="C6" s="24">
        <v>45000109</v>
      </c>
      <c r="D6" s="29">
        <v>46065</v>
      </c>
      <c r="E6" s="24" t="s">
        <v>1679</v>
      </c>
      <c r="F6" s="25" t="s">
        <v>1680</v>
      </c>
      <c r="G6" s="26">
        <v>49</v>
      </c>
      <c r="H6" s="27">
        <v>11800</v>
      </c>
      <c r="I6" s="27">
        <f>Tabela3[[#This Row],[Quantidade]]*Tabela3[[#This Row],[Valor Unitario]]</f>
        <v>578200</v>
      </c>
      <c r="J6" s="28">
        <v>46072</v>
      </c>
      <c r="K6" s="28">
        <v>46074</v>
      </c>
      <c r="L6" t="str">
        <f t="shared" ca="1" si="0"/>
        <v>Recebido</v>
      </c>
      <c r="M6" s="20" t="str">
        <f t="shared" si="1"/>
        <v>Atrasado</v>
      </c>
      <c r="N6">
        <f>IF(Tabela3[[#This Row],[Data Recebimento]]="","",Tabela3[[#This Row],[Data Recebimento]]-Tabela3[[#This Row],[Data Prevista]])</f>
        <v>2</v>
      </c>
      <c r="O6">
        <f>IF(Tabela3[[#This Row],[Data Recebimento]]="","",Tabela3[[#This Row],[Data Recebimento]]-Tabela3[[#This Row],[Data Emissao]])</f>
        <v>9</v>
      </c>
    </row>
    <row r="7" spans="1:15" ht="15" customHeight="1" x14ac:dyDescent="0.25">
      <c r="A7" s="24">
        <v>2002</v>
      </c>
      <c r="B7" s="25" t="s">
        <v>64</v>
      </c>
      <c r="C7" s="24">
        <v>45000105</v>
      </c>
      <c r="D7" s="29">
        <v>45839</v>
      </c>
      <c r="E7" s="24" t="s">
        <v>1679</v>
      </c>
      <c r="F7" s="25" t="s">
        <v>1680</v>
      </c>
      <c r="G7" s="26">
        <v>72</v>
      </c>
      <c r="H7" s="27">
        <v>19800</v>
      </c>
      <c r="I7" s="27">
        <f>Tabela3[[#This Row],[Quantidade]]*Tabela3[[#This Row],[Valor Unitario]]</f>
        <v>1425600</v>
      </c>
      <c r="J7" s="28">
        <v>45846</v>
      </c>
      <c r="K7" s="28"/>
      <c r="L7" t="str">
        <f t="shared" ca="1" si="0"/>
        <v>Atrasado</v>
      </c>
      <c r="M7" s="20" t="str">
        <f t="shared" si="1"/>
        <v/>
      </c>
      <c r="N7" t="str">
        <f>IF(Tabela3[[#This Row],[Data Recebimento]]="","",Tabela3[[#This Row],[Data Recebimento]]-Tabela3[[#This Row],[Data Prevista]])</f>
        <v/>
      </c>
      <c r="O7" t="str">
        <f>IF(Tabela3[[#This Row],[Data Recebimento]]="","",Tabela3[[#This Row],[Data Recebimento]]-Tabela3[[#This Row],[Data Emissao]])</f>
        <v/>
      </c>
    </row>
    <row r="8" spans="1:15" ht="15" customHeight="1" x14ac:dyDescent="0.25">
      <c r="A8" s="20">
        <v>2005</v>
      </c>
      <c r="B8" s="21" t="s">
        <v>71</v>
      </c>
      <c r="C8" s="20">
        <v>45000112</v>
      </c>
      <c r="D8" s="28">
        <v>46067</v>
      </c>
      <c r="E8" s="20" t="s">
        <v>1681</v>
      </c>
      <c r="F8" s="21" t="s">
        <v>1682</v>
      </c>
      <c r="G8" s="22">
        <v>30</v>
      </c>
      <c r="H8" s="23">
        <v>3450</v>
      </c>
      <c r="I8" s="23">
        <f>Tabela3[[#This Row],[Quantidade]]*Tabela3[[#This Row],[Valor Unitario]]</f>
        <v>103500</v>
      </c>
      <c r="J8" s="28">
        <v>46074</v>
      </c>
      <c r="K8" s="28">
        <v>46074</v>
      </c>
      <c r="L8" t="str">
        <f t="shared" ca="1" si="0"/>
        <v>Recebido</v>
      </c>
      <c r="M8" s="20" t="str">
        <f t="shared" si="1"/>
        <v>No Prazo</v>
      </c>
      <c r="N8">
        <f>IF(Tabela3[[#This Row],[Data Recebimento]]="","",Tabela3[[#This Row],[Data Recebimento]]-Tabela3[[#This Row],[Data Prevista]])</f>
        <v>0</v>
      </c>
      <c r="O8">
        <f>IF(Tabela3[[#This Row],[Data Recebimento]]="","",Tabela3[[#This Row],[Data Recebimento]]-Tabela3[[#This Row],[Data Emissao]])</f>
        <v>7</v>
      </c>
    </row>
    <row r="9" spans="1:15" ht="15" customHeight="1" x14ac:dyDescent="0.25">
      <c r="A9" s="24">
        <v>2357</v>
      </c>
      <c r="B9" s="25" t="s">
        <v>91</v>
      </c>
      <c r="C9" s="24">
        <v>45000141</v>
      </c>
      <c r="D9" s="29">
        <v>46069</v>
      </c>
      <c r="E9" s="24" t="s">
        <v>1675</v>
      </c>
      <c r="F9" s="25" t="s">
        <v>176</v>
      </c>
      <c r="G9" s="26">
        <v>67</v>
      </c>
      <c r="H9" s="27">
        <v>210</v>
      </c>
      <c r="I9" s="27">
        <f>Tabela3[[#This Row],[Quantidade]]*Tabela3[[#This Row],[Valor Unitario]]</f>
        <v>14070</v>
      </c>
      <c r="J9" s="28">
        <v>46076</v>
      </c>
      <c r="K9" s="28"/>
      <c r="L9" t="str">
        <f t="shared" ca="1" si="0"/>
        <v>Atrasado</v>
      </c>
      <c r="M9" s="20" t="str">
        <f t="shared" si="1"/>
        <v/>
      </c>
      <c r="N9" t="str">
        <f>IF(Tabela3[[#This Row],[Data Recebimento]]="","",Tabela3[[#This Row],[Data Recebimento]]-Tabela3[[#This Row],[Data Prevista]])</f>
        <v/>
      </c>
      <c r="O9" t="str">
        <f>IF(Tabela3[[#This Row],[Data Recebimento]]="","",Tabela3[[#This Row],[Data Recebimento]]-Tabela3[[#This Row],[Data Emissao]])</f>
        <v/>
      </c>
    </row>
    <row r="10" spans="1:15" ht="15" customHeight="1" x14ac:dyDescent="0.25">
      <c r="A10" s="20">
        <v>2003</v>
      </c>
      <c r="B10" s="21" t="s">
        <v>66</v>
      </c>
      <c r="C10" s="20">
        <v>45000108</v>
      </c>
      <c r="D10" s="28">
        <v>45874</v>
      </c>
      <c r="E10" s="20" t="s">
        <v>1681</v>
      </c>
      <c r="F10" s="21" t="s">
        <v>1682</v>
      </c>
      <c r="G10" s="22">
        <v>34</v>
      </c>
      <c r="H10" s="23">
        <v>12400</v>
      </c>
      <c r="I10" s="23">
        <f>Tabela3[[#This Row],[Quantidade]]*Tabela3[[#This Row],[Valor Unitario]]</f>
        <v>421600</v>
      </c>
      <c r="J10" s="28">
        <v>45881</v>
      </c>
      <c r="K10" s="28"/>
      <c r="L10" t="str">
        <f t="shared" ca="1" si="0"/>
        <v>Atrasado</v>
      </c>
      <c r="M10" s="20" t="str">
        <f t="shared" si="1"/>
        <v/>
      </c>
      <c r="N10" t="str">
        <f>IF(Tabela3[[#This Row],[Data Recebimento]]="","",Tabela3[[#This Row],[Data Recebimento]]-Tabela3[[#This Row],[Data Prevista]])</f>
        <v/>
      </c>
      <c r="O10" t="str">
        <f>IF(Tabela3[[#This Row],[Data Recebimento]]="","",Tabela3[[#This Row],[Data Recebimento]]-Tabela3[[#This Row],[Data Emissao]])</f>
        <v/>
      </c>
    </row>
    <row r="11" spans="1:15" ht="15" customHeight="1" x14ac:dyDescent="0.25">
      <c r="A11" s="20">
        <v>2007</v>
      </c>
      <c r="B11" s="21" t="s">
        <v>76</v>
      </c>
      <c r="C11" s="20">
        <v>45000118</v>
      </c>
      <c r="D11" s="28">
        <v>46099</v>
      </c>
      <c r="E11" s="20" t="s">
        <v>1676</v>
      </c>
      <c r="F11" s="21" t="s">
        <v>174</v>
      </c>
      <c r="G11" s="22">
        <v>17</v>
      </c>
      <c r="H11" s="23">
        <v>1980</v>
      </c>
      <c r="I11" s="23">
        <f>Tabela3[[#This Row],[Quantidade]]*Tabela3[[#This Row],[Valor Unitario]]</f>
        <v>33660</v>
      </c>
      <c r="J11" s="28">
        <v>46106</v>
      </c>
      <c r="K11" s="28">
        <v>46106</v>
      </c>
      <c r="L11" t="str">
        <f t="shared" ca="1" si="0"/>
        <v>Recebido</v>
      </c>
      <c r="M11" s="20" t="str">
        <f t="shared" si="1"/>
        <v>No Prazo</v>
      </c>
      <c r="N11">
        <f>IF(Tabela3[[#This Row],[Data Recebimento]]="","",Tabela3[[#This Row],[Data Recebimento]]-Tabela3[[#This Row],[Data Prevista]])</f>
        <v>0</v>
      </c>
      <c r="O11">
        <f>IF(Tabela3[[#This Row],[Data Recebimento]]="","",Tabela3[[#This Row],[Data Recebimento]]-Tabela3[[#This Row],[Data Emissao]])</f>
        <v>7</v>
      </c>
    </row>
    <row r="12" spans="1:15" ht="15" customHeight="1" x14ac:dyDescent="0.25">
      <c r="A12" s="24">
        <v>2008</v>
      </c>
      <c r="B12" s="25" t="s">
        <v>78</v>
      </c>
      <c r="C12" s="24">
        <v>45000121</v>
      </c>
      <c r="D12" s="29">
        <v>46100</v>
      </c>
      <c r="E12" s="24" t="s">
        <v>1677</v>
      </c>
      <c r="F12" s="25" t="s">
        <v>1678</v>
      </c>
      <c r="G12" s="26">
        <v>46</v>
      </c>
      <c r="H12" s="27">
        <v>24500</v>
      </c>
      <c r="I12" s="27">
        <f>Tabela3[[#This Row],[Quantidade]]*Tabela3[[#This Row],[Valor Unitario]]</f>
        <v>1127000</v>
      </c>
      <c r="J12" s="28">
        <v>46107</v>
      </c>
      <c r="K12" s="28">
        <v>46109</v>
      </c>
      <c r="L12" t="str">
        <f t="shared" ca="1" si="0"/>
        <v>Recebido</v>
      </c>
      <c r="M12" s="20" t="str">
        <f t="shared" si="1"/>
        <v>Atrasado</v>
      </c>
      <c r="N12">
        <f>IF(Tabela3[[#This Row],[Data Recebimento]]="","",Tabela3[[#This Row],[Data Recebimento]]-Tabela3[[#This Row],[Data Prevista]])</f>
        <v>2</v>
      </c>
      <c r="O12">
        <f>IF(Tabela3[[#This Row],[Data Recebimento]]="","",Tabela3[[#This Row],[Data Recebimento]]-Tabela3[[#This Row],[Data Emissao]])</f>
        <v>9</v>
      </c>
    </row>
    <row r="13" spans="1:15" ht="15" customHeight="1" x14ac:dyDescent="0.25">
      <c r="A13" s="20">
        <v>3001</v>
      </c>
      <c r="B13" s="21" t="s">
        <v>101</v>
      </c>
      <c r="C13" s="20">
        <v>45000156</v>
      </c>
      <c r="D13" s="29">
        <v>46218</v>
      </c>
      <c r="E13" s="20" t="s">
        <v>1675</v>
      </c>
      <c r="F13" s="21" t="s">
        <v>176</v>
      </c>
      <c r="G13" s="22">
        <v>73</v>
      </c>
      <c r="H13" s="23">
        <v>320</v>
      </c>
      <c r="I13" s="23">
        <f>Tabela3[[#This Row],[Quantidade]]*Tabela3[[#This Row],[Valor Unitario]]</f>
        <v>23360</v>
      </c>
      <c r="J13" s="28">
        <v>46225</v>
      </c>
      <c r="K13" s="28"/>
      <c r="L13" t="str">
        <f t="shared" ca="1" si="0"/>
        <v>Atrasado</v>
      </c>
      <c r="M13" s="20" t="str">
        <f t="shared" si="1"/>
        <v/>
      </c>
      <c r="N13" t="str">
        <f>IF(Tabela3[[#This Row],[Data Recebimento]]="","",Tabela3[[#This Row],[Data Recebimento]]-Tabela3[[#This Row],[Data Prevista]])</f>
        <v/>
      </c>
      <c r="O13" t="str">
        <f>IF(Tabela3[[#This Row],[Data Recebimento]]="","",Tabela3[[#This Row],[Data Recebimento]]-Tabela3[[#This Row],[Data Emissao]])</f>
        <v/>
      </c>
    </row>
    <row r="14" spans="1:15" ht="15" customHeight="1" x14ac:dyDescent="0.25">
      <c r="A14" s="20">
        <v>2009</v>
      </c>
      <c r="B14" s="21" t="s">
        <v>80</v>
      </c>
      <c r="C14" s="20">
        <v>45000124</v>
      </c>
      <c r="D14" s="28">
        <v>46098</v>
      </c>
      <c r="E14" s="20" t="s">
        <v>1679</v>
      </c>
      <c r="F14" s="21" t="s">
        <v>1680</v>
      </c>
      <c r="G14" s="22">
        <v>19</v>
      </c>
      <c r="H14" s="23">
        <v>1650</v>
      </c>
      <c r="I14" s="23">
        <f>Tabela3[[#This Row],[Quantidade]]*Tabela3[[#This Row],[Valor Unitario]]</f>
        <v>31350</v>
      </c>
      <c r="J14" s="28">
        <v>46105</v>
      </c>
      <c r="K14" s="28">
        <v>46105</v>
      </c>
      <c r="L14" t="str">
        <f t="shared" ca="1" si="0"/>
        <v>Recebido</v>
      </c>
      <c r="M14" s="20" t="str">
        <f t="shared" si="1"/>
        <v>No Prazo</v>
      </c>
      <c r="N14">
        <f>IF(Tabela3[[#This Row],[Data Recebimento]]="","",Tabela3[[#This Row],[Data Recebimento]]-Tabela3[[#This Row],[Data Prevista]])</f>
        <v>0</v>
      </c>
      <c r="O14">
        <f>IF(Tabela3[[#This Row],[Data Recebimento]]="","",Tabela3[[#This Row],[Data Recebimento]]-Tabela3[[#This Row],[Data Emissao]])</f>
        <v>7</v>
      </c>
    </row>
    <row r="15" spans="1:15" ht="15" customHeight="1" x14ac:dyDescent="0.25">
      <c r="A15" s="24">
        <v>2010</v>
      </c>
      <c r="B15" s="25" t="s">
        <v>82</v>
      </c>
      <c r="C15" s="24">
        <v>45000127</v>
      </c>
      <c r="D15" s="29">
        <v>46127</v>
      </c>
      <c r="E15" s="24" t="s">
        <v>1681</v>
      </c>
      <c r="F15" s="25" t="s">
        <v>1682</v>
      </c>
      <c r="G15" s="26">
        <v>22</v>
      </c>
      <c r="H15" s="27">
        <v>2150</v>
      </c>
      <c r="I15" s="27">
        <f>Tabela3[[#This Row],[Quantidade]]*Tabela3[[#This Row],[Valor Unitario]]</f>
        <v>47300</v>
      </c>
      <c r="J15" s="28">
        <v>46134</v>
      </c>
      <c r="K15" s="28">
        <v>46134</v>
      </c>
      <c r="L15" t="str">
        <f t="shared" ca="1" si="0"/>
        <v>Recebido</v>
      </c>
      <c r="M15" s="20" t="str">
        <f t="shared" si="1"/>
        <v>No Prazo</v>
      </c>
      <c r="N15">
        <f>IF(Tabela3[[#This Row],[Data Recebimento]]="","",Tabela3[[#This Row],[Data Recebimento]]-Tabela3[[#This Row],[Data Prevista]])</f>
        <v>0</v>
      </c>
      <c r="O15">
        <f>IF(Tabela3[[#This Row],[Data Recebimento]]="","",Tabela3[[#This Row],[Data Recebimento]]-Tabela3[[#This Row],[Data Emissao]])</f>
        <v>7</v>
      </c>
    </row>
    <row r="16" spans="1:15" ht="15" customHeight="1" x14ac:dyDescent="0.25">
      <c r="A16" s="20">
        <v>2005</v>
      </c>
      <c r="B16" s="21" t="s">
        <v>71</v>
      </c>
      <c r="C16" s="20">
        <v>45000114</v>
      </c>
      <c r="D16" s="28">
        <v>46239</v>
      </c>
      <c r="E16" s="20" t="s">
        <v>1676</v>
      </c>
      <c r="F16" s="21" t="s">
        <v>174</v>
      </c>
      <c r="G16" s="22">
        <v>80</v>
      </c>
      <c r="H16" s="23">
        <v>3450</v>
      </c>
      <c r="I16" s="23">
        <f>Tabela3[[#This Row],[Quantidade]]*Tabela3[[#This Row],[Valor Unitario]]</f>
        <v>276000</v>
      </c>
      <c r="J16" s="28">
        <v>46246</v>
      </c>
      <c r="K16" s="28"/>
      <c r="L16" t="str">
        <f t="shared" ca="1" si="0"/>
        <v>Atrasado</v>
      </c>
      <c r="M16" s="20" t="str">
        <f t="shared" si="1"/>
        <v/>
      </c>
      <c r="N16" t="str">
        <f>IF(Tabela3[[#This Row],[Data Recebimento]]="","",Tabela3[[#This Row],[Data Recebimento]]-Tabela3[[#This Row],[Data Prevista]])</f>
        <v/>
      </c>
      <c r="O16" t="str">
        <f>IF(Tabela3[[#This Row],[Data Recebimento]]="","",Tabela3[[#This Row],[Data Recebimento]]-Tabela3[[#This Row],[Data Emissao]])</f>
        <v/>
      </c>
    </row>
    <row r="17" spans="1:15" ht="15" customHeight="1" x14ac:dyDescent="0.25">
      <c r="A17" s="20">
        <v>5005</v>
      </c>
      <c r="B17" s="21" t="s">
        <v>125</v>
      </c>
      <c r="C17" s="20">
        <v>45000186</v>
      </c>
      <c r="D17" s="28">
        <v>46032</v>
      </c>
      <c r="E17" s="20" t="s">
        <v>1675</v>
      </c>
      <c r="F17" s="21" t="s">
        <v>176</v>
      </c>
      <c r="G17" s="22">
        <v>75</v>
      </c>
      <c r="H17" s="23">
        <v>780</v>
      </c>
      <c r="I17" s="23">
        <f>Tabela3[[#This Row],[Quantidade]]*Tabela3[[#This Row],[Valor Unitario]]</f>
        <v>58500</v>
      </c>
      <c r="J17" s="28">
        <v>46039</v>
      </c>
      <c r="K17" s="28"/>
      <c r="L17" t="str">
        <f t="shared" ca="1" si="0"/>
        <v>Atrasado</v>
      </c>
      <c r="M17" s="20" t="str">
        <f t="shared" si="1"/>
        <v/>
      </c>
      <c r="N17" t="str">
        <f>IF(Tabela3[[#This Row],[Data Recebimento]]="","",Tabela3[[#This Row],[Data Recebimento]]-Tabela3[[#This Row],[Data Prevista]])</f>
        <v/>
      </c>
      <c r="O17" t="str">
        <f>IF(Tabela3[[#This Row],[Data Recebimento]]="","",Tabela3[[#This Row],[Data Recebimento]]-Tabela3[[#This Row],[Data Emissao]])</f>
        <v/>
      </c>
    </row>
    <row r="18" spans="1:15" ht="15" customHeight="1" x14ac:dyDescent="0.25">
      <c r="A18" s="24">
        <v>2012</v>
      </c>
      <c r="B18" s="25" t="s">
        <v>86</v>
      </c>
      <c r="C18" s="24">
        <v>45000133</v>
      </c>
      <c r="D18" s="29">
        <v>46123</v>
      </c>
      <c r="E18" s="24" t="s">
        <v>1676</v>
      </c>
      <c r="F18" s="25" t="s">
        <v>174</v>
      </c>
      <c r="G18" s="26">
        <v>17</v>
      </c>
      <c r="H18" s="27">
        <v>5400</v>
      </c>
      <c r="I18" s="27">
        <f>Tabela3[[#This Row],[Quantidade]]*Tabela3[[#This Row],[Valor Unitario]]</f>
        <v>91800</v>
      </c>
      <c r="J18" s="28">
        <v>46130</v>
      </c>
      <c r="K18" s="28">
        <v>46134</v>
      </c>
      <c r="L18" t="str">
        <f t="shared" ca="1" si="0"/>
        <v>Recebido</v>
      </c>
      <c r="M18" s="20" t="str">
        <f t="shared" si="1"/>
        <v>Atrasado</v>
      </c>
      <c r="N18">
        <f>IF(Tabela3[[#This Row],[Data Recebimento]]="","",Tabela3[[#This Row],[Data Recebimento]]-Tabela3[[#This Row],[Data Prevista]])</f>
        <v>4</v>
      </c>
      <c r="O18">
        <f>IF(Tabela3[[#This Row],[Data Recebimento]]="","",Tabela3[[#This Row],[Data Recebimento]]-Tabela3[[#This Row],[Data Emissao]])</f>
        <v>11</v>
      </c>
    </row>
    <row r="19" spans="1:15" ht="15" customHeight="1" x14ac:dyDescent="0.25">
      <c r="A19" s="24">
        <v>2006</v>
      </c>
      <c r="B19" s="25" t="s">
        <v>74</v>
      </c>
      <c r="C19" s="24">
        <v>45000117</v>
      </c>
      <c r="D19" s="29">
        <v>46204</v>
      </c>
      <c r="E19" s="24" t="s">
        <v>1677</v>
      </c>
      <c r="F19" s="25" t="s">
        <v>1678</v>
      </c>
      <c r="G19" s="26">
        <v>29</v>
      </c>
      <c r="H19" s="27">
        <v>2870</v>
      </c>
      <c r="I19" s="27">
        <f>Tabela3[[#This Row],[Quantidade]]*Tabela3[[#This Row],[Valor Unitario]]</f>
        <v>83230</v>
      </c>
      <c r="J19" s="28">
        <v>46273</v>
      </c>
      <c r="K19" s="28"/>
      <c r="L19" t="str">
        <f t="shared" ca="1" si="0"/>
        <v>Em Transito</v>
      </c>
      <c r="M19" s="20" t="str">
        <f t="shared" si="1"/>
        <v/>
      </c>
      <c r="N19" t="str">
        <f>IF(Tabela3[[#This Row],[Data Recebimento]]="","",Tabela3[[#This Row],[Data Recebimento]]-Tabela3[[#This Row],[Data Prevista]])</f>
        <v/>
      </c>
      <c r="O19" t="str">
        <f>IF(Tabela3[[#This Row],[Data Recebimento]]="","",Tabela3[[#This Row],[Data Recebimento]]-Tabela3[[#This Row],[Data Emissao]])</f>
        <v/>
      </c>
    </row>
    <row r="20" spans="1:15" ht="15" customHeight="1" x14ac:dyDescent="0.25">
      <c r="A20" s="20">
        <v>2356</v>
      </c>
      <c r="B20" s="21" t="s">
        <v>88</v>
      </c>
      <c r="C20" s="20">
        <v>45000136</v>
      </c>
      <c r="D20" s="28">
        <v>46151</v>
      </c>
      <c r="E20" s="20" t="s">
        <v>1677</v>
      </c>
      <c r="F20" s="21" t="s">
        <v>1678</v>
      </c>
      <c r="G20" s="22">
        <v>78</v>
      </c>
      <c r="H20" s="23">
        <v>145</v>
      </c>
      <c r="I20" s="23">
        <f>Tabela3[[#This Row],[Quantidade]]*Tabela3[[#This Row],[Valor Unitario]]</f>
        <v>11310</v>
      </c>
      <c r="J20" s="28">
        <v>46158</v>
      </c>
      <c r="K20" s="28">
        <v>46158</v>
      </c>
      <c r="L20" t="str">
        <f t="shared" ca="1" si="0"/>
        <v>Recebido</v>
      </c>
      <c r="M20" s="20" t="str">
        <f t="shared" si="1"/>
        <v>No Prazo</v>
      </c>
      <c r="N20">
        <f>IF(Tabela3[[#This Row],[Data Recebimento]]="","",Tabela3[[#This Row],[Data Recebimento]]-Tabela3[[#This Row],[Data Prevista]])</f>
        <v>0</v>
      </c>
      <c r="O20">
        <f>IF(Tabela3[[#This Row],[Data Recebimento]]="","",Tabela3[[#This Row],[Data Recebimento]]-Tabela3[[#This Row],[Data Emissao]])</f>
        <v>7</v>
      </c>
    </row>
    <row r="21" spans="1:15" ht="15" customHeight="1" x14ac:dyDescent="0.25">
      <c r="A21" s="24">
        <v>2357</v>
      </c>
      <c r="B21" s="25" t="s">
        <v>91</v>
      </c>
      <c r="C21" s="24">
        <v>45000139</v>
      </c>
      <c r="D21" s="29">
        <v>46149</v>
      </c>
      <c r="E21" s="24" t="s">
        <v>1679</v>
      </c>
      <c r="F21" s="25" t="s">
        <v>1680</v>
      </c>
      <c r="G21" s="26">
        <v>45</v>
      </c>
      <c r="H21" s="27">
        <v>210</v>
      </c>
      <c r="I21" s="27">
        <f>Tabela3[[#This Row],[Quantidade]]*Tabela3[[#This Row],[Valor Unitario]]</f>
        <v>9450</v>
      </c>
      <c r="J21" s="28">
        <v>46156</v>
      </c>
      <c r="K21" s="28">
        <v>46156</v>
      </c>
      <c r="L21" t="str">
        <f t="shared" ca="1" si="0"/>
        <v>Recebido</v>
      </c>
      <c r="M21" s="20" t="str">
        <f t="shared" si="1"/>
        <v>No Prazo</v>
      </c>
      <c r="N21">
        <f>IF(Tabela3[[#This Row],[Data Recebimento]]="","",Tabela3[[#This Row],[Data Recebimento]]-Tabela3[[#This Row],[Data Prevista]])</f>
        <v>0</v>
      </c>
      <c r="O21">
        <f>IF(Tabela3[[#This Row],[Data Recebimento]]="","",Tabela3[[#This Row],[Data Recebimento]]-Tabela3[[#This Row],[Data Emissao]])</f>
        <v>7</v>
      </c>
    </row>
    <row r="22" spans="1:15" ht="15" customHeight="1" x14ac:dyDescent="0.25">
      <c r="A22" s="20">
        <v>2007</v>
      </c>
      <c r="B22" s="21" t="s">
        <v>76</v>
      </c>
      <c r="C22" s="20">
        <v>45000120</v>
      </c>
      <c r="D22" s="28">
        <v>46239</v>
      </c>
      <c r="E22" s="20" t="s">
        <v>1679</v>
      </c>
      <c r="F22" s="21" t="s">
        <v>1680</v>
      </c>
      <c r="G22" s="22">
        <v>24</v>
      </c>
      <c r="H22" s="23">
        <v>1980</v>
      </c>
      <c r="I22" s="23">
        <f>Tabela3[[#This Row],[Quantidade]]*Tabela3[[#This Row],[Valor Unitario]]</f>
        <v>47520</v>
      </c>
      <c r="J22" s="28">
        <v>46246</v>
      </c>
      <c r="K22" s="28"/>
      <c r="L22" t="str">
        <f t="shared" ca="1" si="0"/>
        <v>Atrasado</v>
      </c>
      <c r="M22" s="20" t="str">
        <f t="shared" si="1"/>
        <v/>
      </c>
      <c r="N22" t="str">
        <f>IF(Tabela3[[#This Row],[Data Recebimento]]="","",Tabela3[[#This Row],[Data Recebimento]]-Tabela3[[#This Row],[Data Prevista]])</f>
        <v/>
      </c>
      <c r="O22" t="str">
        <f>IF(Tabela3[[#This Row],[Data Recebimento]]="","",Tabela3[[#This Row],[Data Recebimento]]-Tabela3[[#This Row],[Data Emissao]])</f>
        <v/>
      </c>
    </row>
    <row r="23" spans="1:15" ht="15" customHeight="1" x14ac:dyDescent="0.25">
      <c r="A23" s="20">
        <v>2358</v>
      </c>
      <c r="B23" s="21" t="s">
        <v>93</v>
      </c>
      <c r="C23" s="20">
        <v>45000142</v>
      </c>
      <c r="D23" s="28">
        <v>46147</v>
      </c>
      <c r="E23" s="20" t="s">
        <v>1681</v>
      </c>
      <c r="F23" s="21" t="s">
        <v>1682</v>
      </c>
      <c r="G23" s="22">
        <v>54</v>
      </c>
      <c r="H23" s="23">
        <v>890</v>
      </c>
      <c r="I23" s="23">
        <f>Tabela3[[#This Row],[Quantidade]]*Tabela3[[#This Row],[Valor Unitario]]</f>
        <v>48060</v>
      </c>
      <c r="J23" s="28">
        <v>46154</v>
      </c>
      <c r="K23" s="28">
        <v>46154</v>
      </c>
      <c r="L23" t="str">
        <f t="shared" ca="1" si="0"/>
        <v>Recebido</v>
      </c>
      <c r="M23" s="20" t="str">
        <f t="shared" si="1"/>
        <v>No Prazo</v>
      </c>
      <c r="N23">
        <f>IF(Tabela3[[#This Row],[Data Recebimento]]="","",Tabela3[[#This Row],[Data Recebimento]]-Tabela3[[#This Row],[Data Prevista]])</f>
        <v>0</v>
      </c>
      <c r="O23">
        <f>IF(Tabela3[[#This Row],[Data Recebimento]]="","",Tabela3[[#This Row],[Data Recebimento]]-Tabela3[[#This Row],[Data Emissao]])</f>
        <v>7</v>
      </c>
    </row>
    <row r="24" spans="1:15" ht="15" customHeight="1" x14ac:dyDescent="0.25">
      <c r="A24" s="20">
        <v>8001</v>
      </c>
      <c r="B24" s="21" t="s">
        <v>147</v>
      </c>
      <c r="C24" s="20">
        <v>45000216</v>
      </c>
      <c r="D24" s="28">
        <v>46098</v>
      </c>
      <c r="E24" s="20" t="s">
        <v>1675</v>
      </c>
      <c r="F24" s="21" t="s">
        <v>176</v>
      </c>
      <c r="G24" s="22">
        <v>87</v>
      </c>
      <c r="H24" s="23">
        <v>28</v>
      </c>
      <c r="I24" s="23">
        <f>Tabela3[[#This Row],[Quantidade]]*Tabela3[[#This Row],[Valor Unitario]]</f>
        <v>2436</v>
      </c>
      <c r="J24" s="28">
        <v>46105</v>
      </c>
      <c r="K24" s="28"/>
      <c r="L24" t="str">
        <f t="shared" ca="1" si="0"/>
        <v>Atrasado</v>
      </c>
      <c r="M24" s="20" t="str">
        <f t="shared" si="1"/>
        <v/>
      </c>
      <c r="N24" t="str">
        <f>IF(Tabela3[[#This Row],[Data Recebimento]]="","",Tabela3[[#This Row],[Data Recebimento]]-Tabela3[[#This Row],[Data Prevista]])</f>
        <v/>
      </c>
      <c r="O24" t="str">
        <f>IF(Tabela3[[#This Row],[Data Recebimento]]="","",Tabela3[[#This Row],[Data Recebimento]]-Tabela3[[#This Row],[Data Emissao]])</f>
        <v/>
      </c>
    </row>
    <row r="25" spans="1:15" ht="15" customHeight="1" x14ac:dyDescent="0.25">
      <c r="A25" s="24">
        <v>2008</v>
      </c>
      <c r="B25" s="25" t="s">
        <v>78</v>
      </c>
      <c r="C25" s="24">
        <v>45000123</v>
      </c>
      <c r="D25" s="29">
        <v>46204</v>
      </c>
      <c r="E25" s="24" t="s">
        <v>1681</v>
      </c>
      <c r="F25" s="25" t="s">
        <v>1682</v>
      </c>
      <c r="G25" s="26">
        <v>33</v>
      </c>
      <c r="H25" s="27">
        <v>24500</v>
      </c>
      <c r="I25" s="27">
        <f>Tabela3[[#This Row],[Quantidade]]*Tabela3[[#This Row],[Valor Unitario]]</f>
        <v>808500</v>
      </c>
      <c r="J25" s="28">
        <v>46273</v>
      </c>
      <c r="K25" s="28"/>
      <c r="L25" t="str">
        <f t="shared" ca="1" si="0"/>
        <v>Em Transito</v>
      </c>
      <c r="M25" s="20" t="str">
        <f t="shared" si="1"/>
        <v/>
      </c>
      <c r="N25" t="str">
        <f>IF(Tabela3[[#This Row],[Data Recebimento]]="","",Tabela3[[#This Row],[Data Recebimento]]-Tabela3[[#This Row],[Data Prevista]])</f>
        <v/>
      </c>
      <c r="O25" t="str">
        <f>IF(Tabela3[[#This Row],[Data Recebimento]]="","",Tabela3[[#This Row],[Data Recebimento]]-Tabela3[[#This Row],[Data Emissao]])</f>
        <v/>
      </c>
    </row>
    <row r="26" spans="1:15" ht="15" customHeight="1" x14ac:dyDescent="0.25">
      <c r="A26" s="20">
        <v>2360</v>
      </c>
      <c r="B26" s="21" t="s">
        <v>97</v>
      </c>
      <c r="C26" s="20">
        <v>45000148</v>
      </c>
      <c r="D26" s="28">
        <v>46174</v>
      </c>
      <c r="E26" s="20" t="s">
        <v>1676</v>
      </c>
      <c r="F26" s="21" t="s">
        <v>174</v>
      </c>
      <c r="G26" s="22">
        <v>71</v>
      </c>
      <c r="H26" s="23">
        <v>2380</v>
      </c>
      <c r="I26" s="23">
        <f>Tabela3[[#This Row],[Quantidade]]*Tabela3[[#This Row],[Valor Unitario]]</f>
        <v>168980</v>
      </c>
      <c r="J26" s="28">
        <v>46181</v>
      </c>
      <c r="K26" s="28">
        <v>46181</v>
      </c>
      <c r="L26" t="str">
        <f t="shared" ca="1" si="0"/>
        <v>Recebido</v>
      </c>
      <c r="M26" s="20" t="str">
        <f t="shared" si="1"/>
        <v>No Prazo</v>
      </c>
      <c r="N26">
        <f>IF(Tabela3[[#This Row],[Data Recebimento]]="","",Tabela3[[#This Row],[Data Recebimento]]-Tabela3[[#This Row],[Data Prevista]])</f>
        <v>0</v>
      </c>
      <c r="O26">
        <f>IF(Tabela3[[#This Row],[Data Recebimento]]="","",Tabela3[[#This Row],[Data Recebimento]]-Tabela3[[#This Row],[Data Emissao]])</f>
        <v>7</v>
      </c>
    </row>
    <row r="27" spans="1:15" ht="15" customHeight="1" x14ac:dyDescent="0.25">
      <c r="A27" s="24">
        <v>2361</v>
      </c>
      <c r="B27" s="25" t="s">
        <v>99</v>
      </c>
      <c r="C27" s="24">
        <v>45000151</v>
      </c>
      <c r="D27" s="29">
        <v>46183</v>
      </c>
      <c r="E27" s="24" t="s">
        <v>1677</v>
      </c>
      <c r="F27" s="25" t="s">
        <v>1678</v>
      </c>
      <c r="G27" s="26">
        <v>32</v>
      </c>
      <c r="H27" s="27">
        <v>68</v>
      </c>
      <c r="I27" s="27">
        <f>Tabela3[[#This Row],[Quantidade]]*Tabela3[[#This Row],[Valor Unitario]]</f>
        <v>2176</v>
      </c>
      <c r="J27" s="28">
        <v>46190</v>
      </c>
      <c r="K27" s="28">
        <v>46192</v>
      </c>
      <c r="L27" t="str">
        <f t="shared" ca="1" si="0"/>
        <v>Recebido</v>
      </c>
      <c r="M27" s="20" t="str">
        <f t="shared" si="1"/>
        <v>Atrasado</v>
      </c>
      <c r="N27">
        <f>IF(Tabela3[[#This Row],[Data Recebimento]]="","",Tabela3[[#This Row],[Data Recebimento]]-Tabela3[[#This Row],[Data Prevista]])</f>
        <v>2</v>
      </c>
      <c r="O27">
        <f>IF(Tabela3[[#This Row],[Data Recebimento]]="","",Tabela3[[#This Row],[Data Recebimento]]-Tabela3[[#This Row],[Data Emissao]])</f>
        <v>9</v>
      </c>
    </row>
    <row r="28" spans="1:15" ht="15" customHeight="1" x14ac:dyDescent="0.25">
      <c r="A28" s="24">
        <v>2004</v>
      </c>
      <c r="B28" s="25" t="s">
        <v>69</v>
      </c>
      <c r="C28" s="24">
        <v>45000111</v>
      </c>
      <c r="D28" s="29">
        <v>46204</v>
      </c>
      <c r="E28" s="24" t="s">
        <v>1675</v>
      </c>
      <c r="F28" s="25" t="s">
        <v>176</v>
      </c>
      <c r="G28" s="26">
        <v>44</v>
      </c>
      <c r="H28" s="27">
        <v>11800</v>
      </c>
      <c r="I28" s="27">
        <f>Tabela3[[#This Row],[Quantidade]]*Tabela3[[#This Row],[Valor Unitario]]</f>
        <v>519200</v>
      </c>
      <c r="J28" s="28">
        <v>46273</v>
      </c>
      <c r="K28" s="28"/>
      <c r="L28" t="str">
        <f t="shared" ca="1" si="0"/>
        <v>Em Transito</v>
      </c>
      <c r="M28" s="20" t="str">
        <f t="shared" si="1"/>
        <v/>
      </c>
      <c r="N28" t="str">
        <f>IF(Tabela3[[#This Row],[Data Recebimento]]="","",Tabela3[[#This Row],[Data Recebimento]]-Tabela3[[#This Row],[Data Prevista]])</f>
        <v/>
      </c>
      <c r="O28" t="str">
        <f>IF(Tabela3[[#This Row],[Data Recebimento]]="","",Tabela3[[#This Row],[Data Recebimento]]-Tabela3[[#This Row],[Data Emissao]])</f>
        <v/>
      </c>
    </row>
    <row r="29" spans="1:15" ht="15" customHeight="1" x14ac:dyDescent="0.25">
      <c r="A29" s="20">
        <v>3001</v>
      </c>
      <c r="B29" s="21" t="s">
        <v>101</v>
      </c>
      <c r="C29" s="20">
        <v>45000154</v>
      </c>
      <c r="D29" s="28">
        <v>46221</v>
      </c>
      <c r="E29" s="20" t="s">
        <v>1679</v>
      </c>
      <c r="F29" s="21" t="s">
        <v>1680</v>
      </c>
      <c r="G29" s="22">
        <v>45</v>
      </c>
      <c r="H29" s="23">
        <v>320</v>
      </c>
      <c r="I29" s="23">
        <f>Tabela3[[#This Row],[Quantidade]]*Tabela3[[#This Row],[Valor Unitario]]</f>
        <v>14400</v>
      </c>
      <c r="J29" s="28">
        <v>46228</v>
      </c>
      <c r="K29" s="28">
        <v>46228</v>
      </c>
      <c r="L29" t="str">
        <f t="shared" ca="1" si="0"/>
        <v>Recebido</v>
      </c>
      <c r="M29" s="20" t="str">
        <f t="shared" si="1"/>
        <v>No Prazo</v>
      </c>
      <c r="N29">
        <f>IF(Tabela3[[#This Row],[Data Recebimento]]="","",Tabela3[[#This Row],[Data Recebimento]]-Tabela3[[#This Row],[Data Prevista]])</f>
        <v>0</v>
      </c>
      <c r="O29">
        <f>IF(Tabela3[[#This Row],[Data Recebimento]]="","",Tabela3[[#This Row],[Data Recebimento]]-Tabela3[[#This Row],[Data Emissao]])</f>
        <v>7</v>
      </c>
    </row>
    <row r="30" spans="1:15" ht="15" customHeight="1" x14ac:dyDescent="0.25">
      <c r="A30" s="24">
        <v>3002</v>
      </c>
      <c r="B30" s="25" t="s">
        <v>105</v>
      </c>
      <c r="C30" s="24">
        <v>45000157</v>
      </c>
      <c r="D30" s="29">
        <v>46222</v>
      </c>
      <c r="E30" s="24" t="s">
        <v>1681</v>
      </c>
      <c r="F30" s="25" t="s">
        <v>1682</v>
      </c>
      <c r="G30" s="26">
        <v>65</v>
      </c>
      <c r="H30" s="27">
        <v>95</v>
      </c>
      <c r="I30" s="27">
        <f>Tabela3[[#This Row],[Quantidade]]*Tabela3[[#This Row],[Valor Unitario]]</f>
        <v>6175</v>
      </c>
      <c r="J30" s="28">
        <v>46229</v>
      </c>
      <c r="K30" s="28">
        <v>46229</v>
      </c>
      <c r="L30" t="str">
        <f t="shared" ca="1" si="0"/>
        <v>Recebido</v>
      </c>
      <c r="M30" s="20" t="str">
        <f t="shared" si="1"/>
        <v>No Prazo</v>
      </c>
      <c r="N30">
        <f>IF(Tabela3[[#This Row],[Data Recebimento]]="","",Tabela3[[#This Row],[Data Recebimento]]-Tabela3[[#This Row],[Data Prevista]])</f>
        <v>0</v>
      </c>
      <c r="O30">
        <f>IF(Tabela3[[#This Row],[Data Recebimento]]="","",Tabela3[[#This Row],[Data Recebimento]]-Tabela3[[#This Row],[Data Emissao]])</f>
        <v>7</v>
      </c>
    </row>
    <row r="31" spans="1:15" ht="15" customHeight="1" x14ac:dyDescent="0.25">
      <c r="A31" s="24">
        <v>2010</v>
      </c>
      <c r="B31" s="25" t="s">
        <v>82</v>
      </c>
      <c r="C31" s="24">
        <v>45000129</v>
      </c>
      <c r="D31" s="28">
        <v>46070</v>
      </c>
      <c r="E31" s="24" t="s">
        <v>1676</v>
      </c>
      <c r="F31" s="25" t="s">
        <v>174</v>
      </c>
      <c r="G31" s="26">
        <v>67</v>
      </c>
      <c r="H31" s="27">
        <v>2150</v>
      </c>
      <c r="I31" s="27">
        <f>Tabela3[[#This Row],[Quantidade]]*Tabela3[[#This Row],[Valor Unitario]]</f>
        <v>144050</v>
      </c>
      <c r="J31" s="28">
        <v>46077</v>
      </c>
      <c r="K31" s="28"/>
      <c r="L31" t="str">
        <f t="shared" ca="1" si="0"/>
        <v>Atrasado</v>
      </c>
      <c r="M31" s="20" t="str">
        <f t="shared" si="1"/>
        <v/>
      </c>
      <c r="N31" t="str">
        <f>IF(Tabela3[[#This Row],[Data Recebimento]]="","",Tabela3[[#This Row],[Data Recebimento]]-Tabela3[[#This Row],[Data Prevista]])</f>
        <v/>
      </c>
      <c r="O31" t="str">
        <f>IF(Tabela3[[#This Row],[Data Recebimento]]="","",Tabela3[[#This Row],[Data Recebimento]]-Tabela3[[#This Row],[Data Emissao]])</f>
        <v/>
      </c>
    </row>
    <row r="32" spans="1:15" ht="15" customHeight="1" x14ac:dyDescent="0.25">
      <c r="A32" s="24">
        <v>4002</v>
      </c>
      <c r="B32" s="25" t="s">
        <v>114</v>
      </c>
      <c r="C32" s="24">
        <v>45000171</v>
      </c>
      <c r="D32" s="29">
        <v>46123</v>
      </c>
      <c r="E32" s="24" t="s">
        <v>1675</v>
      </c>
      <c r="F32" s="25" t="s">
        <v>176</v>
      </c>
      <c r="G32" s="26">
        <v>68</v>
      </c>
      <c r="H32" s="27">
        <v>4100</v>
      </c>
      <c r="I32" s="27">
        <f>Tabela3[[#This Row],[Quantidade]]*Tabela3[[#This Row],[Valor Unitario]]</f>
        <v>278800</v>
      </c>
      <c r="J32" s="28">
        <v>46283</v>
      </c>
      <c r="K32" s="28"/>
      <c r="L32" t="str">
        <f t="shared" ca="1" si="0"/>
        <v>Em Transito</v>
      </c>
      <c r="M32" s="20" t="str">
        <f t="shared" si="1"/>
        <v/>
      </c>
      <c r="N32" t="str">
        <f>IF(Tabela3[[#This Row],[Data Recebimento]]="","",Tabela3[[#This Row],[Data Recebimento]]-Tabela3[[#This Row],[Data Prevista]])</f>
        <v/>
      </c>
      <c r="O32" t="str">
        <f>IF(Tabela3[[#This Row],[Data Recebimento]]="","",Tabela3[[#This Row],[Data Recebimento]]-Tabela3[[#This Row],[Data Emissao]])</f>
        <v/>
      </c>
    </row>
    <row r="33" spans="1:15" ht="15" customHeight="1" x14ac:dyDescent="0.25">
      <c r="A33" s="24">
        <v>3004</v>
      </c>
      <c r="B33" s="25" t="s">
        <v>109</v>
      </c>
      <c r="C33" s="24">
        <v>45000163</v>
      </c>
      <c r="D33" s="28">
        <v>46247</v>
      </c>
      <c r="E33" s="24" t="s">
        <v>1676</v>
      </c>
      <c r="F33" s="25" t="s">
        <v>174</v>
      </c>
      <c r="G33" s="26">
        <v>18</v>
      </c>
      <c r="H33" s="27">
        <v>2180</v>
      </c>
      <c r="I33" s="27">
        <f>Tabela3[[#This Row],[Quantidade]]*Tabela3[[#This Row],[Valor Unitario]]</f>
        <v>39240</v>
      </c>
      <c r="J33" s="28">
        <v>46254</v>
      </c>
      <c r="K33" s="28">
        <v>46256</v>
      </c>
      <c r="L33" t="str">
        <f t="shared" ca="1" si="0"/>
        <v>Recebido</v>
      </c>
      <c r="M33" s="20" t="str">
        <f t="shared" si="1"/>
        <v>Atrasado</v>
      </c>
      <c r="N33">
        <f>IF(Tabela3[[#This Row],[Data Recebimento]]="","",Tabela3[[#This Row],[Data Recebimento]]-Tabela3[[#This Row],[Data Prevista]])</f>
        <v>2</v>
      </c>
      <c r="O33">
        <f>IF(Tabela3[[#This Row],[Data Recebimento]]="","",Tabela3[[#This Row],[Data Recebimento]]-Tabela3[[#This Row],[Data Emissao]])</f>
        <v>9</v>
      </c>
    </row>
    <row r="34" spans="1:15" x14ac:dyDescent="0.25">
      <c r="A34" s="20">
        <v>2011</v>
      </c>
      <c r="B34" s="21" t="s">
        <v>84</v>
      </c>
      <c r="C34" s="20">
        <v>45000132</v>
      </c>
      <c r="D34" s="29">
        <v>46064</v>
      </c>
      <c r="E34" s="20" t="s">
        <v>1677</v>
      </c>
      <c r="F34" s="21" t="s">
        <v>1678</v>
      </c>
      <c r="G34" s="22">
        <v>75</v>
      </c>
      <c r="H34" s="23">
        <v>9800</v>
      </c>
      <c r="I34" s="23">
        <f>Tabela3[[#This Row],[Quantidade]]*Tabela3[[#This Row],[Valor Unitario]]</f>
        <v>735000</v>
      </c>
      <c r="J34" s="28">
        <v>46071</v>
      </c>
      <c r="K34" s="28"/>
      <c r="L34" t="str">
        <f t="shared" ref="L34:L65" ca="1" si="2">IF(K34&lt;&gt;"","Recebido",IF(TODAY()&gt;J34,"Atrasado","Em Transito"))</f>
        <v>Atrasado</v>
      </c>
      <c r="M34" s="20" t="str">
        <f t="shared" ref="M34:M65" si="3">IF(K34="","",IF(K34&lt;=J34,"No Prazo","Atrasado"))</f>
        <v/>
      </c>
      <c r="N34" t="str">
        <f>IF(Tabela3[[#This Row],[Data Recebimento]]="","",Tabela3[[#This Row],[Data Recebimento]]-Tabela3[[#This Row],[Data Prevista]])</f>
        <v/>
      </c>
      <c r="O34" t="str">
        <f>IF(Tabela3[[#This Row],[Data Recebimento]]="","",Tabela3[[#This Row],[Data Recebimento]]-Tabela3[[#This Row],[Data Emissao]])</f>
        <v/>
      </c>
    </row>
    <row r="35" spans="1:15" x14ac:dyDescent="0.25">
      <c r="A35" s="20">
        <v>4001</v>
      </c>
      <c r="B35" s="21" t="s">
        <v>111</v>
      </c>
      <c r="C35" s="20">
        <v>45000166</v>
      </c>
      <c r="D35" s="28">
        <v>46243</v>
      </c>
      <c r="E35" s="20" t="s">
        <v>1677</v>
      </c>
      <c r="F35" s="21" t="s">
        <v>1678</v>
      </c>
      <c r="G35" s="22">
        <v>25</v>
      </c>
      <c r="H35" s="23">
        <v>3200</v>
      </c>
      <c r="I35" s="23">
        <f>Tabela3[[#This Row],[Quantidade]]*Tabela3[[#This Row],[Valor Unitario]]</f>
        <v>80000</v>
      </c>
      <c r="J35" s="28">
        <v>46250</v>
      </c>
      <c r="K35" s="28">
        <v>46250</v>
      </c>
      <c r="L35" t="str">
        <f t="shared" ca="1" si="2"/>
        <v>Recebido</v>
      </c>
      <c r="M35" s="20" t="str">
        <f t="shared" si="3"/>
        <v>No Prazo</v>
      </c>
      <c r="N35">
        <f>IF(Tabela3[[#This Row],[Data Recebimento]]="","",Tabela3[[#This Row],[Data Recebimento]]-Tabela3[[#This Row],[Data Prevista]])</f>
        <v>0</v>
      </c>
      <c r="O35">
        <f>IF(Tabela3[[#This Row],[Data Recebimento]]="","",Tabela3[[#This Row],[Data Recebimento]]-Tabela3[[#This Row],[Data Emissao]])</f>
        <v>7</v>
      </c>
    </row>
    <row r="36" spans="1:15" x14ac:dyDescent="0.25">
      <c r="A36" s="24">
        <v>4002</v>
      </c>
      <c r="B36" s="25" t="s">
        <v>114</v>
      </c>
      <c r="C36" s="24">
        <v>45000169</v>
      </c>
      <c r="D36" s="29">
        <v>46241</v>
      </c>
      <c r="E36" s="24" t="s">
        <v>1679</v>
      </c>
      <c r="F36" s="25" t="s">
        <v>1680</v>
      </c>
      <c r="G36" s="26">
        <v>18</v>
      </c>
      <c r="H36" s="27">
        <v>4100</v>
      </c>
      <c r="I36" s="27">
        <f>Tabela3[[#This Row],[Quantidade]]*Tabela3[[#This Row],[Valor Unitario]]</f>
        <v>73800</v>
      </c>
      <c r="J36" s="28">
        <v>46248</v>
      </c>
      <c r="K36" s="28">
        <v>46248</v>
      </c>
      <c r="L36" t="str">
        <f t="shared" ca="1" si="2"/>
        <v>Recebido</v>
      </c>
      <c r="M36" s="20" t="str">
        <f t="shared" si="3"/>
        <v>No Prazo</v>
      </c>
      <c r="N36">
        <f>IF(Tabela3[[#This Row],[Data Recebimento]]="","",Tabela3[[#This Row],[Data Recebimento]]-Tabela3[[#This Row],[Data Prevista]])</f>
        <v>0</v>
      </c>
      <c r="O36">
        <f>IF(Tabela3[[#This Row],[Data Recebimento]]="","",Tabela3[[#This Row],[Data Recebimento]]-Tabela3[[#This Row],[Data Emissao]])</f>
        <v>7</v>
      </c>
    </row>
    <row r="37" spans="1:15" x14ac:dyDescent="0.25">
      <c r="A37" s="24">
        <v>2012</v>
      </c>
      <c r="B37" s="25" t="s">
        <v>86</v>
      </c>
      <c r="C37" s="24">
        <v>45000135</v>
      </c>
      <c r="D37" s="28">
        <v>46058</v>
      </c>
      <c r="E37" s="24" t="s">
        <v>1679</v>
      </c>
      <c r="F37" s="25" t="s">
        <v>1680</v>
      </c>
      <c r="G37" s="26">
        <v>39</v>
      </c>
      <c r="H37" s="27">
        <v>5400</v>
      </c>
      <c r="I37" s="27">
        <f>Tabela3[[#This Row],[Quantidade]]*Tabela3[[#This Row],[Valor Unitario]]</f>
        <v>210600</v>
      </c>
      <c r="J37" s="28">
        <v>46065</v>
      </c>
      <c r="K37" s="28"/>
      <c r="L37" t="str">
        <f t="shared" ca="1" si="2"/>
        <v>Atrasado</v>
      </c>
      <c r="M37" s="20" t="str">
        <f t="shared" si="3"/>
        <v/>
      </c>
      <c r="N37" t="str">
        <f>IF(Tabela3[[#This Row],[Data Recebimento]]="","",Tabela3[[#This Row],[Data Recebimento]]-Tabela3[[#This Row],[Data Prevista]])</f>
        <v/>
      </c>
      <c r="O37" t="str">
        <f>IF(Tabela3[[#This Row],[Data Recebimento]]="","",Tabela3[[#This Row],[Data Recebimento]]-Tabela3[[#This Row],[Data Emissao]])</f>
        <v/>
      </c>
    </row>
    <row r="38" spans="1:15" x14ac:dyDescent="0.25">
      <c r="A38" s="20">
        <v>5001</v>
      </c>
      <c r="B38" s="21" t="s">
        <v>116</v>
      </c>
      <c r="C38" s="20">
        <v>45000172</v>
      </c>
      <c r="D38" s="28">
        <v>46028</v>
      </c>
      <c r="E38" s="20" t="s">
        <v>1681</v>
      </c>
      <c r="F38" s="21" t="s">
        <v>1682</v>
      </c>
      <c r="G38" s="22">
        <v>67</v>
      </c>
      <c r="H38" s="23">
        <v>32500</v>
      </c>
      <c r="I38" s="23">
        <f>Tabela3[[#This Row],[Quantidade]]*Tabela3[[#This Row],[Valor Unitario]]</f>
        <v>2177500</v>
      </c>
      <c r="J38" s="28">
        <v>46035</v>
      </c>
      <c r="K38" s="28">
        <v>46035</v>
      </c>
      <c r="L38" t="str">
        <f t="shared" ca="1" si="2"/>
        <v>Recebido</v>
      </c>
      <c r="M38" s="20" t="str">
        <f t="shared" si="3"/>
        <v>No Prazo</v>
      </c>
      <c r="N38">
        <f>IF(Tabela3[[#This Row],[Data Recebimento]]="","",Tabela3[[#This Row],[Data Recebimento]]-Tabela3[[#This Row],[Data Prevista]])</f>
        <v>0</v>
      </c>
      <c r="O38">
        <f>IF(Tabela3[[#This Row],[Data Recebimento]]="","",Tabela3[[#This Row],[Data Recebimento]]-Tabela3[[#This Row],[Data Emissao]])</f>
        <v>7</v>
      </c>
    </row>
    <row r="39" spans="1:15" x14ac:dyDescent="0.25">
      <c r="A39" s="24">
        <v>6003</v>
      </c>
      <c r="B39" s="25" t="s">
        <v>136</v>
      </c>
      <c r="C39" s="24">
        <v>45000201</v>
      </c>
      <c r="D39" s="29">
        <v>46183</v>
      </c>
      <c r="E39" s="24" t="s">
        <v>1675</v>
      </c>
      <c r="F39" s="25" t="s">
        <v>176</v>
      </c>
      <c r="G39" s="26">
        <v>78</v>
      </c>
      <c r="H39" s="27">
        <v>85</v>
      </c>
      <c r="I39" s="27">
        <f>Tabela3[[#This Row],[Quantidade]]*Tabela3[[#This Row],[Valor Unitario]]</f>
        <v>6630</v>
      </c>
      <c r="J39" s="28">
        <v>46282</v>
      </c>
      <c r="K39" s="28"/>
      <c r="L39" t="str">
        <f t="shared" ca="1" si="2"/>
        <v>Em Transito</v>
      </c>
      <c r="M39" s="20" t="str">
        <f t="shared" si="3"/>
        <v/>
      </c>
      <c r="N39" t="str">
        <f>IF(Tabela3[[#This Row],[Data Recebimento]]="","",Tabela3[[#This Row],[Data Recebimento]]-Tabela3[[#This Row],[Data Prevista]])</f>
        <v/>
      </c>
      <c r="O39" t="str">
        <f>IF(Tabela3[[#This Row],[Data Recebimento]]="","",Tabela3[[#This Row],[Data Recebimento]]-Tabela3[[#This Row],[Data Emissao]])</f>
        <v/>
      </c>
    </row>
    <row r="40" spans="1:15" x14ac:dyDescent="0.25">
      <c r="A40" s="20">
        <v>2356</v>
      </c>
      <c r="B40" s="21" t="s">
        <v>88</v>
      </c>
      <c r="C40" s="20">
        <v>45000138</v>
      </c>
      <c r="D40" s="28">
        <v>46032</v>
      </c>
      <c r="E40" s="20" t="s">
        <v>1681</v>
      </c>
      <c r="F40" s="21" t="s">
        <v>1682</v>
      </c>
      <c r="G40" s="22">
        <v>76</v>
      </c>
      <c r="H40" s="23">
        <v>145</v>
      </c>
      <c r="I40" s="23">
        <f>Tabela3[[#This Row],[Quantidade]]*Tabela3[[#This Row],[Valor Unitario]]</f>
        <v>11020</v>
      </c>
      <c r="J40" s="28">
        <v>46039</v>
      </c>
      <c r="K40" s="28"/>
      <c r="L40" t="str">
        <f t="shared" ca="1" si="2"/>
        <v>Atrasado</v>
      </c>
      <c r="M40" s="20" t="str">
        <f t="shared" si="3"/>
        <v/>
      </c>
      <c r="N40" t="str">
        <f>IF(Tabela3[[#This Row],[Data Recebimento]]="","",Tabela3[[#This Row],[Data Recebimento]]-Tabela3[[#This Row],[Data Prevista]])</f>
        <v/>
      </c>
      <c r="O40" t="str">
        <f>IF(Tabela3[[#This Row],[Data Recebimento]]="","",Tabela3[[#This Row],[Data Recebimento]]-Tabela3[[#This Row],[Data Emissao]])</f>
        <v/>
      </c>
    </row>
    <row r="41" spans="1:15" x14ac:dyDescent="0.25">
      <c r="A41" s="20">
        <v>5003</v>
      </c>
      <c r="B41" s="21" t="s">
        <v>121</v>
      </c>
      <c r="C41" s="20">
        <v>45000178</v>
      </c>
      <c r="D41" s="29">
        <v>46065</v>
      </c>
      <c r="E41" s="20" t="s">
        <v>1676</v>
      </c>
      <c r="F41" s="21" t="s">
        <v>174</v>
      </c>
      <c r="G41" s="22">
        <v>57</v>
      </c>
      <c r="H41" s="23">
        <v>8900</v>
      </c>
      <c r="I41" s="23">
        <f>Tabela3[[#This Row],[Quantidade]]*Tabela3[[#This Row],[Valor Unitario]]</f>
        <v>507300</v>
      </c>
      <c r="J41" s="28">
        <v>46072</v>
      </c>
      <c r="K41" s="28">
        <v>46072</v>
      </c>
      <c r="L41" t="str">
        <f t="shared" ca="1" si="2"/>
        <v>Recebido</v>
      </c>
      <c r="M41" s="20" t="str">
        <f t="shared" si="3"/>
        <v>No Prazo</v>
      </c>
      <c r="N41">
        <f>IF(Tabela3[[#This Row],[Data Recebimento]]="","",Tabela3[[#This Row],[Data Recebimento]]-Tabela3[[#This Row],[Data Prevista]])</f>
        <v>0</v>
      </c>
      <c r="O41">
        <f>IF(Tabela3[[#This Row],[Data Recebimento]]="","",Tabela3[[#This Row],[Data Recebimento]]-Tabela3[[#This Row],[Data Emissao]])</f>
        <v>7</v>
      </c>
    </row>
    <row r="42" spans="1:15" x14ac:dyDescent="0.25">
      <c r="A42" s="24">
        <v>5004</v>
      </c>
      <c r="B42" s="25" t="s">
        <v>123</v>
      </c>
      <c r="C42" s="24">
        <v>45000181</v>
      </c>
      <c r="D42" s="28">
        <v>46067</v>
      </c>
      <c r="E42" s="24" t="s">
        <v>1677</v>
      </c>
      <c r="F42" s="25" t="s">
        <v>1678</v>
      </c>
      <c r="G42" s="26">
        <v>48</v>
      </c>
      <c r="H42" s="27">
        <v>1350</v>
      </c>
      <c r="I42" s="27">
        <f>Tabela3[[#This Row],[Quantidade]]*Tabela3[[#This Row],[Valor Unitario]]</f>
        <v>64800</v>
      </c>
      <c r="J42" s="28">
        <v>46074</v>
      </c>
      <c r="K42" s="28">
        <v>46076</v>
      </c>
      <c r="L42" t="str">
        <f t="shared" ca="1" si="2"/>
        <v>Recebido</v>
      </c>
      <c r="M42" s="20" t="str">
        <f t="shared" si="3"/>
        <v>Atrasado</v>
      </c>
      <c r="N42">
        <f>IF(Tabela3[[#This Row],[Data Recebimento]]="","",Tabela3[[#This Row],[Data Recebimento]]-Tabela3[[#This Row],[Data Prevista]])</f>
        <v>2</v>
      </c>
      <c r="O42">
        <f>IF(Tabela3[[#This Row],[Data Recebimento]]="","",Tabela3[[#This Row],[Data Recebimento]]-Tabela3[[#This Row],[Data Emissao]])</f>
        <v>9</v>
      </c>
    </row>
    <row r="43" spans="1:15" x14ac:dyDescent="0.25">
      <c r="A43" s="24">
        <v>9004</v>
      </c>
      <c r="B43" s="25" t="s">
        <v>161</v>
      </c>
      <c r="C43" s="24">
        <v>45000231</v>
      </c>
      <c r="D43" s="29">
        <v>46241</v>
      </c>
      <c r="E43" s="24" t="s">
        <v>1675</v>
      </c>
      <c r="F43" s="25" t="s">
        <v>176</v>
      </c>
      <c r="G43" s="26">
        <v>71</v>
      </c>
      <c r="H43" s="27">
        <v>45</v>
      </c>
      <c r="I43" s="27">
        <f>Tabela3[[#This Row],[Quantidade]]*Tabela3[[#This Row],[Valor Unitario]]</f>
        <v>3195</v>
      </c>
      <c r="J43" s="28">
        <v>46279</v>
      </c>
      <c r="K43" s="28"/>
      <c r="L43" t="str">
        <f t="shared" ca="1" si="2"/>
        <v>Em Transito</v>
      </c>
      <c r="M43" s="20" t="str">
        <f t="shared" si="3"/>
        <v/>
      </c>
      <c r="N43" t="str">
        <f>IF(Tabela3[[#This Row],[Data Recebimento]]="","",Tabela3[[#This Row],[Data Recebimento]]-Tabela3[[#This Row],[Data Prevista]])</f>
        <v/>
      </c>
      <c r="O43" t="str">
        <f>IF(Tabela3[[#This Row],[Data Recebimento]]="","",Tabela3[[#This Row],[Data Recebimento]]-Tabela3[[#This Row],[Data Emissao]])</f>
        <v/>
      </c>
    </row>
    <row r="44" spans="1:15" x14ac:dyDescent="0.25">
      <c r="A44" s="20">
        <v>5005</v>
      </c>
      <c r="B44" s="21" t="s">
        <v>125</v>
      </c>
      <c r="C44" s="20">
        <v>45000184</v>
      </c>
      <c r="D44" s="28">
        <v>46099</v>
      </c>
      <c r="E44" s="20" t="s">
        <v>1679</v>
      </c>
      <c r="F44" s="21" t="s">
        <v>1680</v>
      </c>
      <c r="G44" s="22">
        <v>37</v>
      </c>
      <c r="H44" s="23">
        <v>780</v>
      </c>
      <c r="I44" s="23">
        <f>Tabela3[[#This Row],[Quantidade]]*Tabela3[[#This Row],[Valor Unitario]]</f>
        <v>28860</v>
      </c>
      <c r="J44" s="28">
        <v>46106</v>
      </c>
      <c r="K44" s="28">
        <v>46106</v>
      </c>
      <c r="L44" t="str">
        <f t="shared" ca="1" si="2"/>
        <v>Recebido</v>
      </c>
      <c r="M44" s="20" t="str">
        <f t="shared" si="3"/>
        <v>No Prazo</v>
      </c>
      <c r="N44">
        <f>IF(Tabela3[[#This Row],[Data Recebimento]]="","",Tabela3[[#This Row],[Data Recebimento]]-Tabela3[[#This Row],[Data Prevista]])</f>
        <v>0</v>
      </c>
      <c r="O44">
        <f>IF(Tabela3[[#This Row],[Data Recebimento]]="","",Tabela3[[#This Row],[Data Recebimento]]-Tabela3[[#This Row],[Data Emissao]])</f>
        <v>7</v>
      </c>
    </row>
    <row r="45" spans="1:15" x14ac:dyDescent="0.25">
      <c r="A45" s="24">
        <v>5006</v>
      </c>
      <c r="B45" s="25" t="s">
        <v>127</v>
      </c>
      <c r="C45" s="24">
        <v>45000187</v>
      </c>
      <c r="D45" s="29">
        <v>46100</v>
      </c>
      <c r="E45" s="24" t="s">
        <v>1681</v>
      </c>
      <c r="F45" s="25" t="s">
        <v>1682</v>
      </c>
      <c r="G45" s="26">
        <v>34</v>
      </c>
      <c r="H45" s="27">
        <v>22</v>
      </c>
      <c r="I45" s="27">
        <f>Tabela3[[#This Row],[Quantidade]]*Tabela3[[#This Row],[Valor Unitario]]</f>
        <v>748</v>
      </c>
      <c r="J45" s="28">
        <v>46107</v>
      </c>
      <c r="K45" s="28">
        <v>46107</v>
      </c>
      <c r="L45" t="str">
        <f t="shared" ca="1" si="2"/>
        <v>Recebido</v>
      </c>
      <c r="M45" s="20" t="str">
        <f t="shared" si="3"/>
        <v>No Prazo</v>
      </c>
      <c r="N45">
        <f>IF(Tabela3[[#This Row],[Data Recebimento]]="","",Tabela3[[#This Row],[Data Recebimento]]-Tabela3[[#This Row],[Data Prevista]])</f>
        <v>0</v>
      </c>
      <c r="O45">
        <f>IF(Tabela3[[#This Row],[Data Recebimento]]="","",Tabela3[[#This Row],[Data Recebimento]]-Tabela3[[#This Row],[Data Emissao]])</f>
        <v>7</v>
      </c>
    </row>
    <row r="46" spans="1:15" x14ac:dyDescent="0.25">
      <c r="A46" s="20">
        <v>2358</v>
      </c>
      <c r="B46" s="21" t="s">
        <v>93</v>
      </c>
      <c r="C46" s="20">
        <v>45000144</v>
      </c>
      <c r="D46" s="28">
        <v>46098</v>
      </c>
      <c r="E46" s="20" t="s">
        <v>1676</v>
      </c>
      <c r="F46" s="21" t="s">
        <v>174</v>
      </c>
      <c r="G46" s="22">
        <v>58</v>
      </c>
      <c r="H46" s="23">
        <v>890</v>
      </c>
      <c r="I46" s="23">
        <f>Tabela3[[#This Row],[Quantidade]]*Tabela3[[#This Row],[Valor Unitario]]</f>
        <v>51620</v>
      </c>
      <c r="J46" s="28">
        <v>46105</v>
      </c>
      <c r="K46" s="28"/>
      <c r="L46" t="str">
        <f t="shared" ca="1" si="2"/>
        <v>Atrasado</v>
      </c>
      <c r="M46" s="20" t="str">
        <f t="shared" si="3"/>
        <v/>
      </c>
      <c r="N46" t="str">
        <f>IF(Tabela3[[#This Row],[Data Recebimento]]="","",Tabela3[[#This Row],[Data Recebimento]]-Tabela3[[#This Row],[Data Prevista]])</f>
        <v/>
      </c>
      <c r="O46" t="str">
        <f>IF(Tabela3[[#This Row],[Data Recebimento]]="","",Tabela3[[#This Row],[Data Recebimento]]-Tabela3[[#This Row],[Data Emissao]])</f>
        <v/>
      </c>
    </row>
    <row r="47" spans="1:15" x14ac:dyDescent="0.25">
      <c r="A47" s="20">
        <v>2001</v>
      </c>
      <c r="B47" s="21" t="s">
        <v>59</v>
      </c>
      <c r="C47" s="20">
        <v>45000100</v>
      </c>
      <c r="D47" s="28">
        <v>45666</v>
      </c>
      <c r="E47" s="20" t="s">
        <v>1675</v>
      </c>
      <c r="F47" s="21" t="s">
        <v>176</v>
      </c>
      <c r="G47" s="22">
        <v>23</v>
      </c>
      <c r="H47" s="23">
        <v>18500</v>
      </c>
      <c r="I47" s="23">
        <f>Tabela3[[#This Row],[Quantidade]]*Tabela3[[#This Row],[Valor Unitario]]</f>
        <v>425500</v>
      </c>
      <c r="J47" s="28">
        <v>45670</v>
      </c>
      <c r="K47" s="28">
        <v>45670</v>
      </c>
      <c r="L47" t="str">
        <f t="shared" ca="1" si="2"/>
        <v>Recebido</v>
      </c>
      <c r="M47" s="20" t="str">
        <f t="shared" si="3"/>
        <v>No Prazo</v>
      </c>
      <c r="N47">
        <f>IF(Tabela3[[#This Row],[Data Recebimento]]="","",Tabela3[[#This Row],[Data Recebimento]]-Tabela3[[#This Row],[Data Prevista]])</f>
        <v>0</v>
      </c>
      <c r="O47">
        <f>IF(Tabela3[[#This Row],[Data Recebimento]]="","",Tabela3[[#This Row],[Data Recebimento]]-Tabela3[[#This Row],[Data Emissao]])</f>
        <v>4</v>
      </c>
    </row>
    <row r="48" spans="1:15" x14ac:dyDescent="0.25">
      <c r="A48" s="24">
        <v>6001</v>
      </c>
      <c r="B48" s="25" t="s">
        <v>131</v>
      </c>
      <c r="C48" s="24">
        <v>45000193</v>
      </c>
      <c r="D48" s="28">
        <v>46125</v>
      </c>
      <c r="E48" s="24" t="s">
        <v>1676</v>
      </c>
      <c r="F48" s="25" t="s">
        <v>174</v>
      </c>
      <c r="G48" s="26">
        <v>38</v>
      </c>
      <c r="H48" s="27">
        <v>15800</v>
      </c>
      <c r="I48" s="27">
        <f>Tabela3[[#This Row],[Quantidade]]*Tabela3[[#This Row],[Valor Unitario]]</f>
        <v>600400</v>
      </c>
      <c r="J48" s="28">
        <v>46132</v>
      </c>
      <c r="K48" s="28">
        <v>46132</v>
      </c>
      <c r="L48" t="str">
        <f t="shared" ca="1" si="2"/>
        <v>Recebido</v>
      </c>
      <c r="M48" s="20" t="str">
        <f t="shared" si="3"/>
        <v>No Prazo</v>
      </c>
      <c r="N48">
        <f>IF(Tabela3[[#This Row],[Data Recebimento]]="","",Tabela3[[#This Row],[Data Recebimento]]-Tabela3[[#This Row],[Data Prevista]])</f>
        <v>0</v>
      </c>
      <c r="O48">
        <f>IF(Tabela3[[#This Row],[Data Recebimento]]="","",Tabela3[[#This Row],[Data Recebimento]]-Tabela3[[#This Row],[Data Emissao]])</f>
        <v>7</v>
      </c>
    </row>
    <row r="49" spans="1:15" x14ac:dyDescent="0.25">
      <c r="A49" s="24">
        <v>2359</v>
      </c>
      <c r="B49" s="25" t="s">
        <v>95</v>
      </c>
      <c r="C49" s="24">
        <v>45000147</v>
      </c>
      <c r="D49" s="29">
        <v>46123</v>
      </c>
      <c r="E49" s="24" t="s">
        <v>1677</v>
      </c>
      <c r="F49" s="25" t="s">
        <v>1678</v>
      </c>
      <c r="G49" s="26">
        <v>84</v>
      </c>
      <c r="H49" s="27">
        <v>1240</v>
      </c>
      <c r="I49" s="27">
        <f>Tabela3[[#This Row],[Quantidade]]*Tabela3[[#This Row],[Valor Unitario]]</f>
        <v>104160</v>
      </c>
      <c r="J49" s="28">
        <v>46130</v>
      </c>
      <c r="K49" s="28"/>
      <c r="L49" t="str">
        <f t="shared" ca="1" si="2"/>
        <v>Atrasado</v>
      </c>
      <c r="M49" s="20" t="str">
        <f t="shared" si="3"/>
        <v/>
      </c>
      <c r="N49" t="str">
        <f>IF(Tabela3[[#This Row],[Data Recebimento]]="","",Tabela3[[#This Row],[Data Recebimento]]-Tabela3[[#This Row],[Data Prevista]])</f>
        <v/>
      </c>
      <c r="O49" t="str">
        <f>IF(Tabela3[[#This Row],[Data Recebimento]]="","",Tabela3[[#This Row],[Data Recebimento]]-Tabela3[[#This Row],[Data Emissao]])</f>
        <v/>
      </c>
    </row>
    <row r="50" spans="1:15" x14ac:dyDescent="0.25">
      <c r="A50" s="20">
        <v>6002</v>
      </c>
      <c r="B50" s="21" t="s">
        <v>134</v>
      </c>
      <c r="C50" s="20">
        <v>45000196</v>
      </c>
      <c r="D50" s="28">
        <v>46151</v>
      </c>
      <c r="E50" s="20" t="s">
        <v>1677</v>
      </c>
      <c r="F50" s="21" t="s">
        <v>1678</v>
      </c>
      <c r="G50" s="22">
        <v>36</v>
      </c>
      <c r="H50" s="23">
        <v>6900</v>
      </c>
      <c r="I50" s="23">
        <f>Tabela3[[#This Row],[Quantidade]]*Tabela3[[#This Row],[Valor Unitario]]</f>
        <v>248400</v>
      </c>
      <c r="J50" s="28">
        <v>46158</v>
      </c>
      <c r="K50" s="28">
        <v>46158</v>
      </c>
      <c r="L50" t="str">
        <f t="shared" ca="1" si="2"/>
        <v>Recebido</v>
      </c>
      <c r="M50" s="20" t="str">
        <f t="shared" si="3"/>
        <v>No Prazo</v>
      </c>
      <c r="N50">
        <f>IF(Tabela3[[#This Row],[Data Recebimento]]="","",Tabela3[[#This Row],[Data Recebimento]]-Tabela3[[#This Row],[Data Prevista]])</f>
        <v>0</v>
      </c>
      <c r="O50">
        <f>IF(Tabela3[[#This Row],[Data Recebimento]]="","",Tabela3[[#This Row],[Data Recebimento]]-Tabela3[[#This Row],[Data Emissao]])</f>
        <v>7</v>
      </c>
    </row>
    <row r="51" spans="1:15" x14ac:dyDescent="0.25">
      <c r="A51" s="24">
        <v>6003</v>
      </c>
      <c r="B51" s="25" t="s">
        <v>136</v>
      </c>
      <c r="C51" s="24">
        <v>45000199</v>
      </c>
      <c r="D51" s="29">
        <v>46149</v>
      </c>
      <c r="E51" s="24" t="s">
        <v>1679</v>
      </c>
      <c r="F51" s="25" t="s">
        <v>1680</v>
      </c>
      <c r="G51" s="26">
        <v>21</v>
      </c>
      <c r="H51" s="27">
        <v>85</v>
      </c>
      <c r="I51" s="27">
        <f>Tabela3[[#This Row],[Quantidade]]*Tabela3[[#This Row],[Valor Unitario]]</f>
        <v>1785</v>
      </c>
      <c r="J51" s="28">
        <v>46156</v>
      </c>
      <c r="K51" s="28">
        <v>46159</v>
      </c>
      <c r="L51" t="str">
        <f t="shared" ca="1" si="2"/>
        <v>Recebido</v>
      </c>
      <c r="M51" s="20" t="str">
        <f t="shared" si="3"/>
        <v>Atrasado</v>
      </c>
      <c r="N51">
        <f>IF(Tabela3[[#This Row],[Data Recebimento]]="","",Tabela3[[#This Row],[Data Recebimento]]-Tabela3[[#This Row],[Data Prevista]])</f>
        <v>3</v>
      </c>
      <c r="O51">
        <f>IF(Tabela3[[#This Row],[Data Recebimento]]="","",Tabela3[[#This Row],[Data Recebimento]]-Tabela3[[#This Row],[Data Emissao]])</f>
        <v>10</v>
      </c>
    </row>
    <row r="52" spans="1:15" x14ac:dyDescent="0.25">
      <c r="A52" s="20">
        <v>2360</v>
      </c>
      <c r="B52" s="21" t="s">
        <v>97</v>
      </c>
      <c r="C52" s="20">
        <v>45000150</v>
      </c>
      <c r="D52" s="28">
        <v>46147</v>
      </c>
      <c r="E52" s="20" t="s">
        <v>1679</v>
      </c>
      <c r="F52" s="21" t="s">
        <v>1680</v>
      </c>
      <c r="G52" s="22">
        <v>73</v>
      </c>
      <c r="H52" s="23">
        <v>2380</v>
      </c>
      <c r="I52" s="23">
        <f>Tabela3[[#This Row],[Quantidade]]*Tabela3[[#This Row],[Valor Unitario]]</f>
        <v>173740</v>
      </c>
      <c r="J52" s="28">
        <v>46154</v>
      </c>
      <c r="K52" s="28"/>
      <c r="L52" t="str">
        <f t="shared" ca="1" si="2"/>
        <v>Atrasado</v>
      </c>
      <c r="M52" s="20" t="str">
        <f t="shared" si="3"/>
        <v/>
      </c>
      <c r="N52" t="str">
        <f>IF(Tabela3[[#This Row],[Data Recebimento]]="","",Tabela3[[#This Row],[Data Recebimento]]-Tabela3[[#This Row],[Data Prevista]])</f>
        <v/>
      </c>
      <c r="O52" t="str">
        <f>IF(Tabela3[[#This Row],[Data Recebimento]]="","",Tabela3[[#This Row],[Data Recebimento]]-Tabela3[[#This Row],[Data Emissao]])</f>
        <v/>
      </c>
    </row>
    <row r="53" spans="1:15" x14ac:dyDescent="0.25">
      <c r="A53" s="20">
        <v>6004</v>
      </c>
      <c r="B53" s="21" t="s">
        <v>138</v>
      </c>
      <c r="C53" s="20">
        <v>45000202</v>
      </c>
      <c r="D53" s="29">
        <v>46176</v>
      </c>
      <c r="E53" s="20" t="s">
        <v>1681</v>
      </c>
      <c r="F53" s="21" t="s">
        <v>1682</v>
      </c>
      <c r="G53" s="22">
        <v>54</v>
      </c>
      <c r="H53" s="23">
        <v>2650</v>
      </c>
      <c r="I53" s="23">
        <f>Tabela3[[#This Row],[Quantidade]]*Tabela3[[#This Row],[Valor Unitario]]</f>
        <v>143100</v>
      </c>
      <c r="J53" s="28">
        <v>46183</v>
      </c>
      <c r="K53" s="28">
        <v>46183</v>
      </c>
      <c r="L53" t="str">
        <f t="shared" ca="1" si="2"/>
        <v>Recebido</v>
      </c>
      <c r="M53" s="20" t="str">
        <f t="shared" si="3"/>
        <v>No Prazo</v>
      </c>
      <c r="N53">
        <f>IF(Tabela3[[#This Row],[Data Recebimento]]="","",Tabela3[[#This Row],[Data Recebimento]]-Tabela3[[#This Row],[Data Prevista]])</f>
        <v>0</v>
      </c>
      <c r="O53">
        <f>IF(Tabela3[[#This Row],[Data Recebimento]]="","",Tabela3[[#This Row],[Data Recebimento]]-Tabela3[[#This Row],[Data Emissao]])</f>
        <v>7</v>
      </c>
    </row>
    <row r="54" spans="1:15" x14ac:dyDescent="0.25">
      <c r="A54" s="24">
        <v>2006</v>
      </c>
      <c r="B54" s="25" t="s">
        <v>74</v>
      </c>
      <c r="C54" s="24">
        <v>45000115</v>
      </c>
      <c r="D54" s="29">
        <v>46069</v>
      </c>
      <c r="E54" s="24" t="s">
        <v>1675</v>
      </c>
      <c r="F54" s="25" t="s">
        <v>176</v>
      </c>
      <c r="G54" s="26">
        <v>73</v>
      </c>
      <c r="H54" s="27">
        <v>2870</v>
      </c>
      <c r="I54" s="27">
        <f>Tabela3[[#This Row],[Quantidade]]*Tabela3[[#This Row],[Valor Unitario]]</f>
        <v>209510</v>
      </c>
      <c r="J54" s="28">
        <v>46076</v>
      </c>
      <c r="K54" s="28">
        <v>46076</v>
      </c>
      <c r="L54" t="str">
        <f t="shared" ca="1" si="2"/>
        <v>Recebido</v>
      </c>
      <c r="M54" s="20" t="str">
        <f t="shared" si="3"/>
        <v>No Prazo</v>
      </c>
      <c r="N54">
        <f>IF(Tabela3[[#This Row],[Data Recebimento]]="","",Tabela3[[#This Row],[Data Recebimento]]-Tabela3[[#This Row],[Data Prevista]])</f>
        <v>0</v>
      </c>
      <c r="O54">
        <f>IF(Tabela3[[#This Row],[Data Recebimento]]="","",Tabela3[[#This Row],[Data Recebimento]]-Tabela3[[#This Row],[Data Emissao]])</f>
        <v>7</v>
      </c>
    </row>
    <row r="55" spans="1:15" x14ac:dyDescent="0.25">
      <c r="A55" s="24">
        <v>2361</v>
      </c>
      <c r="B55" s="25" t="s">
        <v>99</v>
      </c>
      <c r="C55" s="24">
        <v>45000153</v>
      </c>
      <c r="D55" s="29">
        <v>46183</v>
      </c>
      <c r="E55" s="24" t="s">
        <v>1681</v>
      </c>
      <c r="F55" s="25" t="s">
        <v>1682</v>
      </c>
      <c r="G55" s="26">
        <v>33</v>
      </c>
      <c r="H55" s="27">
        <v>68</v>
      </c>
      <c r="I55" s="27">
        <f>Tabela3[[#This Row],[Quantidade]]*Tabela3[[#This Row],[Valor Unitario]]</f>
        <v>2244</v>
      </c>
      <c r="J55" s="28">
        <v>46190</v>
      </c>
      <c r="K55" s="28"/>
      <c r="L55" t="str">
        <f t="shared" ca="1" si="2"/>
        <v>Atrasado</v>
      </c>
      <c r="M55" s="20" t="str">
        <f t="shared" si="3"/>
        <v/>
      </c>
      <c r="N55" t="str">
        <f>IF(Tabela3[[#This Row],[Data Recebimento]]="","",Tabela3[[#This Row],[Data Recebimento]]-Tabela3[[#This Row],[Data Prevista]])</f>
        <v/>
      </c>
      <c r="O55" t="str">
        <f>IF(Tabela3[[#This Row],[Data Recebimento]]="","",Tabela3[[#This Row],[Data Recebimento]]-Tabela3[[#This Row],[Data Emissao]])</f>
        <v/>
      </c>
    </row>
    <row r="56" spans="1:15" x14ac:dyDescent="0.25">
      <c r="A56" s="20">
        <v>7002</v>
      </c>
      <c r="B56" s="21" t="s">
        <v>143</v>
      </c>
      <c r="C56" s="20">
        <v>45000208</v>
      </c>
      <c r="D56" s="28">
        <v>46221</v>
      </c>
      <c r="E56" s="20" t="s">
        <v>1676</v>
      </c>
      <c r="F56" s="21" t="s">
        <v>174</v>
      </c>
      <c r="G56" s="22">
        <v>70</v>
      </c>
      <c r="H56" s="23">
        <v>95</v>
      </c>
      <c r="I56" s="23">
        <f>Tabela3[[#This Row],[Quantidade]]*Tabela3[[#This Row],[Valor Unitario]]</f>
        <v>6650</v>
      </c>
      <c r="J56" s="28">
        <v>46228</v>
      </c>
      <c r="K56" s="28">
        <v>46228</v>
      </c>
      <c r="L56" t="str">
        <f t="shared" ca="1" si="2"/>
        <v>Recebido</v>
      </c>
      <c r="M56" s="20" t="str">
        <f t="shared" si="3"/>
        <v>No Prazo</v>
      </c>
      <c r="N56">
        <f>IF(Tabela3[[#This Row],[Data Recebimento]]="","",Tabela3[[#This Row],[Data Recebimento]]-Tabela3[[#This Row],[Data Prevista]])</f>
        <v>0</v>
      </c>
      <c r="O56">
        <f>IF(Tabela3[[#This Row],[Data Recebimento]]="","",Tabela3[[#This Row],[Data Recebimento]]-Tabela3[[#This Row],[Data Emissao]])</f>
        <v>7</v>
      </c>
    </row>
    <row r="57" spans="1:15" x14ac:dyDescent="0.25">
      <c r="A57" s="24">
        <v>7003</v>
      </c>
      <c r="B57" s="25" t="s">
        <v>145</v>
      </c>
      <c r="C57" s="24">
        <v>45000211</v>
      </c>
      <c r="D57" s="29">
        <v>46222</v>
      </c>
      <c r="E57" s="24" t="s">
        <v>1677</v>
      </c>
      <c r="F57" s="25" t="s">
        <v>1678</v>
      </c>
      <c r="G57" s="26">
        <v>60</v>
      </c>
      <c r="H57" s="27">
        <v>130</v>
      </c>
      <c r="I57" s="27">
        <f>Tabela3[[#This Row],[Quantidade]]*Tabela3[[#This Row],[Valor Unitario]]</f>
        <v>7800</v>
      </c>
      <c r="J57" s="28">
        <v>46229</v>
      </c>
      <c r="K57" s="28">
        <v>46229</v>
      </c>
      <c r="L57" t="str">
        <f t="shared" ca="1" si="2"/>
        <v>Recebido</v>
      </c>
      <c r="M57" s="20" t="str">
        <f t="shared" si="3"/>
        <v>No Prazo</v>
      </c>
      <c r="N57">
        <f>IF(Tabela3[[#This Row],[Data Recebimento]]="","",Tabela3[[#This Row],[Data Recebimento]]-Tabela3[[#This Row],[Data Prevista]])</f>
        <v>0</v>
      </c>
      <c r="O57">
        <f>IF(Tabela3[[#This Row],[Data Recebimento]]="","",Tabela3[[#This Row],[Data Recebimento]]-Tabela3[[#This Row],[Data Emissao]])</f>
        <v>7</v>
      </c>
    </row>
    <row r="58" spans="1:15" x14ac:dyDescent="0.25">
      <c r="A58" s="20">
        <v>2011</v>
      </c>
      <c r="B58" s="21" t="s">
        <v>84</v>
      </c>
      <c r="C58" s="20">
        <v>45000130</v>
      </c>
      <c r="D58" s="28">
        <v>46125</v>
      </c>
      <c r="E58" s="20" t="s">
        <v>1675</v>
      </c>
      <c r="F58" s="21" t="s">
        <v>176</v>
      </c>
      <c r="G58" s="22">
        <v>76</v>
      </c>
      <c r="H58" s="23">
        <v>9800</v>
      </c>
      <c r="I58" s="23">
        <f>Tabela3[[#This Row],[Quantidade]]*Tabela3[[#This Row],[Valor Unitario]]</f>
        <v>744800</v>
      </c>
      <c r="J58" s="28">
        <v>46132</v>
      </c>
      <c r="K58" s="28">
        <v>46132</v>
      </c>
      <c r="L58" t="str">
        <f t="shared" ca="1" si="2"/>
        <v>Recebido</v>
      </c>
      <c r="M58" s="20" t="str">
        <f t="shared" si="3"/>
        <v>No Prazo</v>
      </c>
      <c r="N58">
        <f>IF(Tabela3[[#This Row],[Data Recebimento]]="","",Tabela3[[#This Row],[Data Recebimento]]-Tabela3[[#This Row],[Data Prevista]])</f>
        <v>0</v>
      </c>
      <c r="O58">
        <f>IF(Tabela3[[#This Row],[Data Recebimento]]="","",Tabela3[[#This Row],[Data Recebimento]]-Tabela3[[#This Row],[Data Emissao]])</f>
        <v>7</v>
      </c>
    </row>
    <row r="59" spans="1:15" x14ac:dyDescent="0.25">
      <c r="A59" s="20">
        <v>8001</v>
      </c>
      <c r="B59" s="21" t="s">
        <v>147</v>
      </c>
      <c r="C59" s="20">
        <v>45000214</v>
      </c>
      <c r="D59" s="28">
        <v>46247</v>
      </c>
      <c r="E59" s="20" t="s">
        <v>1679</v>
      </c>
      <c r="F59" s="21" t="s">
        <v>1680</v>
      </c>
      <c r="G59" s="22">
        <v>27</v>
      </c>
      <c r="H59" s="23">
        <v>28</v>
      </c>
      <c r="I59" s="23">
        <f>Tabela3[[#This Row],[Quantidade]]*Tabela3[[#This Row],[Valor Unitario]]</f>
        <v>756</v>
      </c>
      <c r="J59" s="28">
        <v>46254</v>
      </c>
      <c r="K59" s="28">
        <v>46254</v>
      </c>
      <c r="L59" t="str">
        <f t="shared" ca="1" si="2"/>
        <v>Recebido</v>
      </c>
      <c r="M59" s="20" t="str">
        <f t="shared" si="3"/>
        <v>No Prazo</v>
      </c>
      <c r="N59">
        <f>IF(Tabela3[[#This Row],[Data Recebimento]]="","",Tabela3[[#This Row],[Data Recebimento]]-Tabela3[[#This Row],[Data Prevista]])</f>
        <v>0</v>
      </c>
      <c r="O59">
        <f>IF(Tabela3[[#This Row],[Data Recebimento]]="","",Tabela3[[#This Row],[Data Recebimento]]-Tabela3[[#This Row],[Data Emissao]])</f>
        <v>7</v>
      </c>
    </row>
    <row r="60" spans="1:15" x14ac:dyDescent="0.25">
      <c r="A60" s="24">
        <v>8002</v>
      </c>
      <c r="B60" s="25" t="s">
        <v>151</v>
      </c>
      <c r="C60" s="24">
        <v>45000217</v>
      </c>
      <c r="D60" s="28">
        <v>46243</v>
      </c>
      <c r="E60" s="24" t="s">
        <v>1681</v>
      </c>
      <c r="F60" s="25" t="s">
        <v>1682</v>
      </c>
      <c r="G60" s="26">
        <v>35</v>
      </c>
      <c r="H60" s="27">
        <v>32</v>
      </c>
      <c r="I60" s="27">
        <f>Tabela3[[#This Row],[Quantidade]]*Tabela3[[#This Row],[Valor Unitario]]</f>
        <v>1120</v>
      </c>
      <c r="J60" s="28">
        <v>46250</v>
      </c>
      <c r="K60" s="28">
        <v>46250</v>
      </c>
      <c r="L60" t="str">
        <f t="shared" ca="1" si="2"/>
        <v>Recebido</v>
      </c>
      <c r="M60" s="20" t="str">
        <f t="shared" si="3"/>
        <v>No Prazo</v>
      </c>
      <c r="N60">
        <f>IF(Tabela3[[#This Row],[Data Recebimento]]="","",Tabela3[[#This Row],[Data Recebimento]]-Tabela3[[#This Row],[Data Prevista]])</f>
        <v>0</v>
      </c>
      <c r="O60">
        <f>IF(Tabela3[[#This Row],[Data Recebimento]]="","",Tabela3[[#This Row],[Data Recebimento]]-Tabela3[[#This Row],[Data Emissao]])</f>
        <v>7</v>
      </c>
    </row>
    <row r="61" spans="1:15" x14ac:dyDescent="0.25">
      <c r="A61" s="24">
        <v>3002</v>
      </c>
      <c r="B61" s="25" t="s">
        <v>105</v>
      </c>
      <c r="C61" s="24">
        <v>45000159</v>
      </c>
      <c r="D61" s="29">
        <v>46241</v>
      </c>
      <c r="E61" s="24" t="s">
        <v>1676</v>
      </c>
      <c r="F61" s="25" t="s">
        <v>174</v>
      </c>
      <c r="G61" s="26">
        <v>73</v>
      </c>
      <c r="H61" s="27">
        <v>95</v>
      </c>
      <c r="I61" s="27">
        <f>Tabela3[[#This Row],[Quantidade]]*Tabela3[[#This Row],[Valor Unitario]]</f>
        <v>6935</v>
      </c>
      <c r="J61" s="28">
        <v>46279</v>
      </c>
      <c r="K61" s="28"/>
      <c r="L61" t="str">
        <f t="shared" ca="1" si="2"/>
        <v>Em Transito</v>
      </c>
      <c r="M61" s="20" t="str">
        <f t="shared" si="3"/>
        <v/>
      </c>
      <c r="N61" t="str">
        <f>IF(Tabela3[[#This Row],[Data Recebimento]]="","",Tabela3[[#This Row],[Data Recebimento]]-Tabela3[[#This Row],[Data Prevista]])</f>
        <v/>
      </c>
      <c r="O61" t="str">
        <f>IF(Tabela3[[#This Row],[Data Recebimento]]="","",Tabela3[[#This Row],[Data Recebimento]]-Tabela3[[#This Row],[Data Emissao]])</f>
        <v/>
      </c>
    </row>
    <row r="62" spans="1:15" x14ac:dyDescent="0.25">
      <c r="A62" s="24">
        <v>2359</v>
      </c>
      <c r="B62" s="25" t="s">
        <v>95</v>
      </c>
      <c r="C62" s="24">
        <v>45000145</v>
      </c>
      <c r="D62" s="29">
        <v>46176</v>
      </c>
      <c r="E62" s="24" t="s">
        <v>1675</v>
      </c>
      <c r="F62" s="25" t="s">
        <v>176</v>
      </c>
      <c r="G62" s="26">
        <v>59</v>
      </c>
      <c r="H62" s="27">
        <v>1240</v>
      </c>
      <c r="I62" s="27">
        <f>Tabela3[[#This Row],[Quantidade]]*Tabela3[[#This Row],[Valor Unitario]]</f>
        <v>73160</v>
      </c>
      <c r="J62" s="28">
        <v>46183</v>
      </c>
      <c r="K62" s="28">
        <v>46183</v>
      </c>
      <c r="L62" t="str">
        <f t="shared" ca="1" si="2"/>
        <v>Recebido</v>
      </c>
      <c r="M62" s="20" t="str">
        <f t="shared" si="3"/>
        <v>No Prazo</v>
      </c>
      <c r="N62">
        <f>IF(Tabela3[[#This Row],[Data Recebimento]]="","",Tabela3[[#This Row],[Data Recebimento]]-Tabela3[[#This Row],[Data Prevista]])</f>
        <v>0</v>
      </c>
      <c r="O62">
        <f>IF(Tabela3[[#This Row],[Data Recebimento]]="","",Tabela3[[#This Row],[Data Recebimento]]-Tabela3[[#This Row],[Data Emissao]])</f>
        <v>7</v>
      </c>
    </row>
    <row r="63" spans="1:15" x14ac:dyDescent="0.25">
      <c r="A63" s="24">
        <v>9002</v>
      </c>
      <c r="B63" s="25" t="s">
        <v>157</v>
      </c>
      <c r="C63" s="24">
        <v>45000223</v>
      </c>
      <c r="D63" s="29">
        <v>46030</v>
      </c>
      <c r="E63" s="24" t="s">
        <v>1676</v>
      </c>
      <c r="F63" s="25" t="s">
        <v>174</v>
      </c>
      <c r="G63" s="26">
        <v>59</v>
      </c>
      <c r="H63" s="27">
        <v>6.5</v>
      </c>
      <c r="I63" s="27">
        <f>Tabela3[[#This Row],[Quantidade]]*Tabela3[[#This Row],[Valor Unitario]]</f>
        <v>383.5</v>
      </c>
      <c r="J63" s="28">
        <v>46037</v>
      </c>
      <c r="K63" s="28">
        <v>46040</v>
      </c>
      <c r="L63" t="str">
        <f t="shared" ca="1" si="2"/>
        <v>Recebido</v>
      </c>
      <c r="M63" s="20" t="str">
        <f t="shared" si="3"/>
        <v>Atrasado</v>
      </c>
      <c r="N63">
        <f>IF(Tabela3[[#This Row],[Data Recebimento]]="","",Tabela3[[#This Row],[Data Recebimento]]-Tabela3[[#This Row],[Data Prevista]])</f>
        <v>3</v>
      </c>
      <c r="O63">
        <f>IF(Tabela3[[#This Row],[Data Recebimento]]="","",Tabela3[[#This Row],[Data Recebimento]]-Tabela3[[#This Row],[Data Emissao]])</f>
        <v>10</v>
      </c>
    </row>
    <row r="64" spans="1:15" x14ac:dyDescent="0.25">
      <c r="A64" s="20">
        <v>3003</v>
      </c>
      <c r="B64" s="21" t="s">
        <v>107</v>
      </c>
      <c r="C64" s="20">
        <v>45000162</v>
      </c>
      <c r="D64" s="28">
        <v>46032</v>
      </c>
      <c r="E64" s="20" t="s">
        <v>1677</v>
      </c>
      <c r="F64" s="21" t="s">
        <v>1678</v>
      </c>
      <c r="G64" s="22">
        <v>77</v>
      </c>
      <c r="H64" s="23">
        <v>2450</v>
      </c>
      <c r="I64" s="23">
        <f>Tabela3[[#This Row],[Quantidade]]*Tabela3[[#This Row],[Valor Unitario]]</f>
        <v>188650</v>
      </c>
      <c r="J64" s="28">
        <v>46039</v>
      </c>
      <c r="K64" s="28"/>
      <c r="L64" t="str">
        <f t="shared" ca="1" si="2"/>
        <v>Atrasado</v>
      </c>
      <c r="M64" s="20" t="str">
        <f t="shared" si="3"/>
        <v/>
      </c>
      <c r="N64" t="str">
        <f>IF(Tabela3[[#This Row],[Data Recebimento]]="","",Tabela3[[#This Row],[Data Recebimento]]-Tabela3[[#This Row],[Data Prevista]])</f>
        <v/>
      </c>
      <c r="O64" t="str">
        <f>IF(Tabela3[[#This Row],[Data Recebimento]]="","",Tabela3[[#This Row],[Data Recebimento]]-Tabela3[[#This Row],[Data Emissao]])</f>
        <v/>
      </c>
    </row>
    <row r="65" spans="1:15" x14ac:dyDescent="0.25">
      <c r="A65" s="20">
        <v>9003</v>
      </c>
      <c r="B65" s="21" t="s">
        <v>159</v>
      </c>
      <c r="C65" s="20">
        <v>45000226</v>
      </c>
      <c r="D65" s="29">
        <v>46065</v>
      </c>
      <c r="E65" s="20" t="s">
        <v>1677</v>
      </c>
      <c r="F65" s="21" t="s">
        <v>1678</v>
      </c>
      <c r="G65" s="22">
        <v>69</v>
      </c>
      <c r="H65" s="23">
        <v>2.2000000000000002</v>
      </c>
      <c r="I65" s="23">
        <f>Tabela3[[#This Row],[Quantidade]]*Tabela3[[#This Row],[Valor Unitario]]</f>
        <v>151.80000000000001</v>
      </c>
      <c r="J65" s="28">
        <v>46072</v>
      </c>
      <c r="K65" s="28">
        <v>46072</v>
      </c>
      <c r="L65" t="str">
        <f t="shared" ca="1" si="2"/>
        <v>Recebido</v>
      </c>
      <c r="M65" s="20" t="str">
        <f t="shared" si="3"/>
        <v>No Prazo</v>
      </c>
      <c r="N65">
        <f>IF(Tabela3[[#This Row],[Data Recebimento]]="","",Tabela3[[#This Row],[Data Recebimento]]-Tabela3[[#This Row],[Data Prevista]])</f>
        <v>0</v>
      </c>
      <c r="O65">
        <f>IF(Tabela3[[#This Row],[Data Recebimento]]="","",Tabela3[[#This Row],[Data Recebimento]]-Tabela3[[#This Row],[Data Emissao]])</f>
        <v>7</v>
      </c>
    </row>
    <row r="66" spans="1:15" x14ac:dyDescent="0.25">
      <c r="A66" s="24">
        <v>9004</v>
      </c>
      <c r="B66" s="25" t="s">
        <v>161</v>
      </c>
      <c r="C66" s="24">
        <v>45000229</v>
      </c>
      <c r="D66" s="28">
        <v>46067</v>
      </c>
      <c r="E66" s="24" t="s">
        <v>1679</v>
      </c>
      <c r="F66" s="25" t="s">
        <v>1680</v>
      </c>
      <c r="G66" s="26">
        <v>31</v>
      </c>
      <c r="H66" s="27">
        <v>45</v>
      </c>
      <c r="I66" s="27">
        <f>Tabela3[[#This Row],[Quantidade]]*Tabela3[[#This Row],[Valor Unitario]]</f>
        <v>1395</v>
      </c>
      <c r="J66" s="28">
        <v>46074</v>
      </c>
      <c r="K66" s="28">
        <v>46074</v>
      </c>
      <c r="L66" t="str">
        <f t="shared" ref="L66:L97" ca="1" si="4">IF(K66&lt;&gt;"","Recebido",IF(TODAY()&gt;J66,"Atrasado","Em Transito"))</f>
        <v>Recebido</v>
      </c>
      <c r="M66" s="20" t="str">
        <f t="shared" ref="M66:M97" si="5">IF(K66="","",IF(K66&lt;=J66,"No Prazo","Atrasado"))</f>
        <v>No Prazo</v>
      </c>
      <c r="N66">
        <f>IF(Tabela3[[#This Row],[Data Recebimento]]="","",Tabela3[[#This Row],[Data Recebimento]]-Tabela3[[#This Row],[Data Prevista]])</f>
        <v>0</v>
      </c>
      <c r="O66">
        <f>IF(Tabela3[[#This Row],[Data Recebimento]]="","",Tabela3[[#This Row],[Data Recebimento]]-Tabela3[[#This Row],[Data Emissao]])</f>
        <v>7</v>
      </c>
    </row>
    <row r="67" spans="1:15" x14ac:dyDescent="0.25">
      <c r="A67" s="24">
        <v>3004</v>
      </c>
      <c r="B67" s="25" t="s">
        <v>109</v>
      </c>
      <c r="C67" s="24">
        <v>45000165</v>
      </c>
      <c r="D67" s="29">
        <v>46069</v>
      </c>
      <c r="E67" s="24" t="s">
        <v>1679</v>
      </c>
      <c r="F67" s="25" t="s">
        <v>1680</v>
      </c>
      <c r="G67" s="26">
        <v>23</v>
      </c>
      <c r="H67" s="27">
        <v>2180</v>
      </c>
      <c r="I67" s="27">
        <f>Tabela3[[#This Row],[Quantidade]]*Tabela3[[#This Row],[Valor Unitario]]</f>
        <v>50140</v>
      </c>
      <c r="J67" s="28">
        <v>46076</v>
      </c>
      <c r="K67" s="28"/>
      <c r="L67" t="str">
        <f t="shared" ca="1" si="4"/>
        <v>Atrasado</v>
      </c>
      <c r="M67" s="20" t="str">
        <f t="shared" si="5"/>
        <v/>
      </c>
      <c r="N67" t="str">
        <f>IF(Tabela3[[#This Row],[Data Recebimento]]="","",Tabela3[[#This Row],[Data Recebimento]]-Tabela3[[#This Row],[Data Prevista]])</f>
        <v/>
      </c>
      <c r="O67" t="str">
        <f>IF(Tabela3[[#This Row],[Data Recebimento]]="","",Tabela3[[#This Row],[Data Recebimento]]-Tabela3[[#This Row],[Data Emissao]])</f>
        <v/>
      </c>
    </row>
    <row r="68" spans="1:15" x14ac:dyDescent="0.25">
      <c r="A68" s="20">
        <v>9005</v>
      </c>
      <c r="B68" s="21" t="s">
        <v>163</v>
      </c>
      <c r="C68" s="20">
        <v>45000232</v>
      </c>
      <c r="D68" s="28">
        <v>46099</v>
      </c>
      <c r="E68" s="20" t="s">
        <v>1681</v>
      </c>
      <c r="F68" s="21" t="s">
        <v>1682</v>
      </c>
      <c r="G68" s="22">
        <v>49</v>
      </c>
      <c r="H68" s="23">
        <v>8.9</v>
      </c>
      <c r="I68" s="23">
        <f>Tabela3[[#This Row],[Quantidade]]*Tabela3[[#This Row],[Valor Unitario]]</f>
        <v>436.1</v>
      </c>
      <c r="J68" s="28">
        <v>46106</v>
      </c>
      <c r="K68" s="28">
        <v>46106</v>
      </c>
      <c r="L68" t="str">
        <f t="shared" ca="1" si="4"/>
        <v>Recebido</v>
      </c>
      <c r="M68" s="20" t="str">
        <f t="shared" si="5"/>
        <v>No Prazo</v>
      </c>
      <c r="N68">
        <f>IF(Tabela3[[#This Row],[Data Recebimento]]="","",Tabela3[[#This Row],[Data Recebimento]]-Tabela3[[#This Row],[Data Prevista]])</f>
        <v>0</v>
      </c>
      <c r="O68">
        <f>IF(Tabela3[[#This Row],[Data Recebimento]]="","",Tabela3[[#This Row],[Data Recebimento]]-Tabela3[[#This Row],[Data Emissao]])</f>
        <v>7</v>
      </c>
    </row>
    <row r="69" spans="1:15" x14ac:dyDescent="0.25">
      <c r="A69" s="24">
        <v>2001</v>
      </c>
      <c r="B69" s="25" t="s">
        <v>59</v>
      </c>
      <c r="C69" s="24">
        <v>45000101</v>
      </c>
      <c r="D69" s="29">
        <v>45735</v>
      </c>
      <c r="E69" s="24" t="s">
        <v>1676</v>
      </c>
      <c r="F69" s="25" t="s">
        <v>174</v>
      </c>
      <c r="G69" s="26">
        <v>34</v>
      </c>
      <c r="H69" s="27">
        <v>18500</v>
      </c>
      <c r="I69" s="27">
        <f>Tabela3[[#This Row],[Quantidade]]*Tabela3[[#This Row],[Valor Unitario]]</f>
        <v>629000</v>
      </c>
      <c r="J69" s="28">
        <v>45742</v>
      </c>
      <c r="K69" s="28">
        <v>45745</v>
      </c>
      <c r="L69" t="str">
        <f t="shared" ca="1" si="4"/>
        <v>Recebido</v>
      </c>
      <c r="M69" s="20" t="str">
        <f t="shared" si="5"/>
        <v>Atrasado</v>
      </c>
      <c r="N69">
        <f>IF(Tabela3[[#This Row],[Data Recebimento]]="","",Tabela3[[#This Row],[Data Recebimento]]-Tabela3[[#This Row],[Data Prevista]])</f>
        <v>3</v>
      </c>
      <c r="O69">
        <f>IF(Tabela3[[#This Row],[Data Recebimento]]="","",Tabela3[[#This Row],[Data Recebimento]]-Tabela3[[#This Row],[Data Emissao]])</f>
        <v>10</v>
      </c>
    </row>
    <row r="70" spans="1:15" x14ac:dyDescent="0.25">
      <c r="A70" s="20">
        <v>4001</v>
      </c>
      <c r="B70" s="21" t="s">
        <v>111</v>
      </c>
      <c r="C70" s="20">
        <v>45000168</v>
      </c>
      <c r="D70" s="28">
        <v>46098</v>
      </c>
      <c r="E70" s="20" t="s">
        <v>1681</v>
      </c>
      <c r="F70" s="21" t="s">
        <v>1682</v>
      </c>
      <c r="G70" s="22">
        <v>80</v>
      </c>
      <c r="H70" s="23">
        <v>3200</v>
      </c>
      <c r="I70" s="23">
        <f>Tabela3[[#This Row],[Quantidade]]*Tabela3[[#This Row],[Valor Unitario]]</f>
        <v>256000</v>
      </c>
      <c r="J70" s="28">
        <v>46105</v>
      </c>
      <c r="K70" s="28"/>
      <c r="L70" t="str">
        <f t="shared" ca="1" si="4"/>
        <v>Atrasado</v>
      </c>
      <c r="M70" s="20" t="str">
        <f t="shared" si="5"/>
        <v/>
      </c>
      <c r="N70" t="str">
        <f>IF(Tabela3[[#This Row],[Data Recebimento]]="","",Tabela3[[#This Row],[Data Recebimento]]-Tabela3[[#This Row],[Data Prevista]])</f>
        <v/>
      </c>
      <c r="O70" t="str">
        <f>IF(Tabela3[[#This Row],[Data Recebimento]]="","",Tabela3[[#This Row],[Data Recebimento]]-Tabela3[[#This Row],[Data Emissao]])</f>
        <v/>
      </c>
    </row>
    <row r="71" spans="1:15" x14ac:dyDescent="0.25">
      <c r="A71" s="20">
        <v>2002</v>
      </c>
      <c r="B71" s="21" t="s">
        <v>64</v>
      </c>
      <c r="C71" s="20">
        <v>45000104</v>
      </c>
      <c r="D71" s="29">
        <v>45762</v>
      </c>
      <c r="E71" s="20" t="s">
        <v>1677</v>
      </c>
      <c r="F71" s="21" t="s">
        <v>1678</v>
      </c>
      <c r="G71" s="22">
        <v>20</v>
      </c>
      <c r="H71" s="23">
        <v>19800</v>
      </c>
      <c r="I71" s="23">
        <f>Tabela3[[#This Row],[Quantidade]]*Tabela3[[#This Row],[Valor Unitario]]</f>
        <v>396000</v>
      </c>
      <c r="J71" s="28">
        <v>45769</v>
      </c>
      <c r="K71" s="28">
        <v>45769</v>
      </c>
      <c r="L71" t="str">
        <f t="shared" ca="1" si="4"/>
        <v>Recebido</v>
      </c>
      <c r="M71" s="20" t="str">
        <f t="shared" si="5"/>
        <v>No Prazo</v>
      </c>
      <c r="N71">
        <f>IF(Tabela3[[#This Row],[Data Recebimento]]="","",Tabela3[[#This Row],[Data Recebimento]]-Tabela3[[#This Row],[Data Prevista]])</f>
        <v>0</v>
      </c>
      <c r="O71">
        <f>IF(Tabela3[[#This Row],[Data Recebimento]]="","",Tabela3[[#This Row],[Data Recebimento]]-Tabela3[[#This Row],[Data Emissao]])</f>
        <v>7</v>
      </c>
    </row>
    <row r="72" spans="1:15" x14ac:dyDescent="0.25">
      <c r="A72" s="24">
        <v>2003</v>
      </c>
      <c r="B72" s="25" t="s">
        <v>66</v>
      </c>
      <c r="C72" s="24">
        <v>45000107</v>
      </c>
      <c r="D72" s="28">
        <v>45760</v>
      </c>
      <c r="E72" s="24" t="s">
        <v>1679</v>
      </c>
      <c r="F72" s="25" t="s">
        <v>1680</v>
      </c>
      <c r="G72" s="26">
        <v>12</v>
      </c>
      <c r="H72" s="27">
        <v>12400</v>
      </c>
      <c r="I72" s="27">
        <f>Tabela3[[#This Row],[Quantidade]]*Tabela3[[#This Row],[Valor Unitario]]</f>
        <v>148800</v>
      </c>
      <c r="J72" s="28">
        <v>45767</v>
      </c>
      <c r="K72" s="28">
        <v>45767</v>
      </c>
      <c r="L72" t="str">
        <f t="shared" ca="1" si="4"/>
        <v>Recebido</v>
      </c>
      <c r="M72" s="20" t="str">
        <f t="shared" si="5"/>
        <v>No Prazo</v>
      </c>
      <c r="N72">
        <f>IF(Tabela3[[#This Row],[Data Recebimento]]="","",Tabela3[[#This Row],[Data Recebimento]]-Tabela3[[#This Row],[Data Prevista]])</f>
        <v>0</v>
      </c>
      <c r="O72">
        <f>IF(Tabela3[[#This Row],[Data Recebimento]]="","",Tabela3[[#This Row],[Data Recebimento]]-Tabela3[[#This Row],[Data Emissao]])</f>
        <v>7</v>
      </c>
    </row>
    <row r="73" spans="1:15" x14ac:dyDescent="0.25">
      <c r="A73" s="20">
        <v>3003</v>
      </c>
      <c r="B73" s="21" t="s">
        <v>107</v>
      </c>
      <c r="C73" s="20">
        <v>45000160</v>
      </c>
      <c r="D73" s="29">
        <v>46218</v>
      </c>
      <c r="E73" s="20" t="s">
        <v>1675</v>
      </c>
      <c r="F73" s="21" t="s">
        <v>176</v>
      </c>
      <c r="G73" s="22">
        <v>15</v>
      </c>
      <c r="H73" s="23">
        <v>2450</v>
      </c>
      <c r="I73" s="23">
        <f>Tabela3[[#This Row],[Quantidade]]*Tabela3[[#This Row],[Valor Unitario]]</f>
        <v>36750</v>
      </c>
      <c r="J73" s="28">
        <v>46225</v>
      </c>
      <c r="K73" s="28">
        <v>46225</v>
      </c>
      <c r="L73" t="str">
        <f t="shared" ca="1" si="4"/>
        <v>Recebido</v>
      </c>
      <c r="M73" s="20" t="str">
        <f t="shared" si="5"/>
        <v>No Prazo</v>
      </c>
      <c r="N73">
        <f>IF(Tabela3[[#This Row],[Data Recebimento]]="","",Tabela3[[#This Row],[Data Recebimento]]-Tabela3[[#This Row],[Data Prevista]])</f>
        <v>0</v>
      </c>
      <c r="O73">
        <f>IF(Tabela3[[#This Row],[Data Recebimento]]="","",Tabela3[[#This Row],[Data Recebimento]]-Tabela3[[#This Row],[Data Emissao]])</f>
        <v>7</v>
      </c>
    </row>
    <row r="74" spans="1:15" x14ac:dyDescent="0.25">
      <c r="A74" s="20">
        <v>2004</v>
      </c>
      <c r="B74" s="21" t="s">
        <v>69</v>
      </c>
      <c r="C74" s="20">
        <v>45000110</v>
      </c>
      <c r="D74" s="28">
        <v>46151</v>
      </c>
      <c r="E74" s="20" t="s">
        <v>1681</v>
      </c>
      <c r="F74" s="21" t="s">
        <v>1682</v>
      </c>
      <c r="G74" s="22">
        <v>59</v>
      </c>
      <c r="H74" s="23">
        <v>11800</v>
      </c>
      <c r="I74" s="23">
        <f>Tabela3[[#This Row],[Quantidade]]*Tabela3[[#This Row],[Valor Unitario]]</f>
        <v>696200</v>
      </c>
      <c r="J74" s="28">
        <v>46158</v>
      </c>
      <c r="K74" s="28">
        <v>46158</v>
      </c>
      <c r="L74" t="str">
        <f t="shared" ca="1" si="4"/>
        <v>Recebido</v>
      </c>
      <c r="M74" s="20" t="str">
        <f t="shared" si="5"/>
        <v>No Prazo</v>
      </c>
      <c r="N74">
        <f>IF(Tabela3[[#This Row],[Data Recebimento]]="","",Tabela3[[#This Row],[Data Recebimento]]-Tabela3[[#This Row],[Data Prevista]])</f>
        <v>0</v>
      </c>
      <c r="O74">
        <f>IF(Tabela3[[#This Row],[Data Recebimento]]="","",Tabela3[[#This Row],[Data Recebimento]]-Tabela3[[#This Row],[Data Emissao]])</f>
        <v>7</v>
      </c>
    </row>
    <row r="75" spans="1:15" x14ac:dyDescent="0.25">
      <c r="A75" s="24">
        <v>5002</v>
      </c>
      <c r="B75" s="25" t="s">
        <v>119</v>
      </c>
      <c r="C75" s="24">
        <v>45000175</v>
      </c>
      <c r="D75" s="29">
        <v>46033</v>
      </c>
      <c r="E75" s="24" t="s">
        <v>1675</v>
      </c>
      <c r="F75" s="25" t="s">
        <v>176</v>
      </c>
      <c r="G75" s="26">
        <v>20</v>
      </c>
      <c r="H75" s="27">
        <v>17800</v>
      </c>
      <c r="I75" s="27">
        <f>Tabela3[[#This Row],[Quantidade]]*Tabela3[[#This Row],[Valor Unitario]]</f>
        <v>356000</v>
      </c>
      <c r="J75" s="28">
        <v>46037</v>
      </c>
      <c r="K75" s="28">
        <v>46037</v>
      </c>
      <c r="L75" t="str">
        <f t="shared" ca="1" si="4"/>
        <v>Recebido</v>
      </c>
      <c r="M75" s="20" t="str">
        <f t="shared" si="5"/>
        <v>No Prazo</v>
      </c>
      <c r="N75">
        <f>IF(Tabela3[[#This Row],[Data Recebimento]]="","",Tabela3[[#This Row],[Data Recebimento]]-Tabela3[[#This Row],[Data Prevista]])</f>
        <v>0</v>
      </c>
      <c r="O75">
        <f>IF(Tabela3[[#This Row],[Data Recebimento]]="","",Tabela3[[#This Row],[Data Recebimento]]-Tabela3[[#This Row],[Data Emissao]])</f>
        <v>4</v>
      </c>
    </row>
    <row r="76" spans="1:15" x14ac:dyDescent="0.25">
      <c r="A76" s="20">
        <v>5001</v>
      </c>
      <c r="B76" s="21" t="s">
        <v>116</v>
      </c>
      <c r="C76" s="20">
        <v>45000174</v>
      </c>
      <c r="D76" s="28">
        <v>46147</v>
      </c>
      <c r="E76" s="20" t="s">
        <v>1676</v>
      </c>
      <c r="F76" s="21" t="s">
        <v>174</v>
      </c>
      <c r="G76" s="22">
        <v>56</v>
      </c>
      <c r="H76" s="23">
        <v>32500</v>
      </c>
      <c r="I76" s="23">
        <f>Tabela3[[#This Row],[Quantidade]]*Tabela3[[#This Row],[Valor Unitario]]</f>
        <v>1820000</v>
      </c>
      <c r="J76" s="28">
        <v>46154</v>
      </c>
      <c r="K76" s="28"/>
      <c r="L76" t="str">
        <f t="shared" ca="1" si="4"/>
        <v>Atrasado</v>
      </c>
      <c r="M76" s="20" t="str">
        <f t="shared" si="5"/>
        <v/>
      </c>
      <c r="N76" t="str">
        <f>IF(Tabela3[[#This Row],[Data Recebimento]]="","",Tabela3[[#This Row],[Data Recebimento]]-Tabela3[[#This Row],[Data Prevista]])</f>
        <v/>
      </c>
      <c r="O76" t="str">
        <f>IF(Tabela3[[#This Row],[Data Recebimento]]="","",Tabela3[[#This Row],[Data Recebimento]]-Tabela3[[#This Row],[Data Emissao]])</f>
        <v/>
      </c>
    </row>
    <row r="77" spans="1:15" x14ac:dyDescent="0.25">
      <c r="A77" s="20">
        <v>2006</v>
      </c>
      <c r="B77" s="21" t="s">
        <v>74</v>
      </c>
      <c r="C77" s="20">
        <v>45000116</v>
      </c>
      <c r="D77" s="29">
        <v>46176</v>
      </c>
      <c r="E77" s="20" t="s">
        <v>1676</v>
      </c>
      <c r="F77" s="21" t="s">
        <v>174</v>
      </c>
      <c r="G77" s="22">
        <v>26</v>
      </c>
      <c r="H77" s="23">
        <v>2870</v>
      </c>
      <c r="I77" s="23">
        <f>Tabela3[[#This Row],[Quantidade]]*Tabela3[[#This Row],[Valor Unitario]]</f>
        <v>74620</v>
      </c>
      <c r="J77" s="28">
        <v>46183</v>
      </c>
      <c r="K77" s="28">
        <v>46183</v>
      </c>
      <c r="L77" t="str">
        <f t="shared" ca="1" si="4"/>
        <v>Recebido</v>
      </c>
      <c r="M77" s="20" t="str">
        <f t="shared" si="5"/>
        <v>No Prazo</v>
      </c>
      <c r="N77">
        <f>IF(Tabela3[[#This Row],[Data Recebimento]]="","",Tabela3[[#This Row],[Data Recebimento]]-Tabela3[[#This Row],[Data Prevista]])</f>
        <v>0</v>
      </c>
      <c r="O77">
        <f>IF(Tabela3[[#This Row],[Data Recebimento]]="","",Tabela3[[#This Row],[Data Recebimento]]-Tabela3[[#This Row],[Data Emissao]])</f>
        <v>7</v>
      </c>
    </row>
    <row r="78" spans="1:15" x14ac:dyDescent="0.25">
      <c r="A78" s="24">
        <v>2007</v>
      </c>
      <c r="B78" s="25" t="s">
        <v>76</v>
      </c>
      <c r="C78" s="24">
        <v>45000119</v>
      </c>
      <c r="D78" s="28">
        <v>46174</v>
      </c>
      <c r="E78" s="24" t="s">
        <v>1677</v>
      </c>
      <c r="F78" s="25" t="s">
        <v>1678</v>
      </c>
      <c r="G78" s="26">
        <v>37</v>
      </c>
      <c r="H78" s="27">
        <v>1980</v>
      </c>
      <c r="I78" s="27">
        <f>Tabela3[[#This Row],[Quantidade]]*Tabela3[[#This Row],[Valor Unitario]]</f>
        <v>73260</v>
      </c>
      <c r="J78" s="28">
        <v>46181</v>
      </c>
      <c r="K78" s="28">
        <v>46181</v>
      </c>
      <c r="L78" t="str">
        <f t="shared" ca="1" si="4"/>
        <v>Recebido</v>
      </c>
      <c r="M78" s="20" t="str">
        <f t="shared" si="5"/>
        <v>No Prazo</v>
      </c>
      <c r="N78">
        <f>IF(Tabela3[[#This Row],[Data Recebimento]]="","",Tabela3[[#This Row],[Data Recebimento]]-Tabela3[[#This Row],[Data Prevista]])</f>
        <v>0</v>
      </c>
      <c r="O78">
        <f>IF(Tabela3[[#This Row],[Data Recebimento]]="","",Tabela3[[#This Row],[Data Recebimento]]-Tabela3[[#This Row],[Data Emissao]])</f>
        <v>7</v>
      </c>
    </row>
    <row r="79" spans="1:15" x14ac:dyDescent="0.25">
      <c r="A79" s="24">
        <v>5002</v>
      </c>
      <c r="B79" s="25" t="s">
        <v>119</v>
      </c>
      <c r="C79" s="24">
        <v>45000177</v>
      </c>
      <c r="D79" s="29">
        <v>46183</v>
      </c>
      <c r="E79" s="24" t="s">
        <v>1677</v>
      </c>
      <c r="F79" s="25" t="s">
        <v>1678</v>
      </c>
      <c r="G79" s="26">
        <v>58</v>
      </c>
      <c r="H79" s="27">
        <v>17800</v>
      </c>
      <c r="I79" s="27">
        <f>Tabela3[[#This Row],[Quantidade]]*Tabela3[[#This Row],[Valor Unitario]]</f>
        <v>1032400</v>
      </c>
      <c r="J79" s="28">
        <v>46282</v>
      </c>
      <c r="K79" s="28"/>
      <c r="L79" t="str">
        <f t="shared" ca="1" si="4"/>
        <v>Em Transito</v>
      </c>
      <c r="M79" s="20" t="str">
        <f t="shared" si="5"/>
        <v/>
      </c>
      <c r="N79" t="str">
        <f>IF(Tabela3[[#This Row],[Data Recebimento]]="","",Tabela3[[#This Row],[Data Recebimento]]-Tabela3[[#This Row],[Data Prevista]])</f>
        <v/>
      </c>
      <c r="O79" t="str">
        <f>IF(Tabela3[[#This Row],[Data Recebimento]]="","",Tabela3[[#This Row],[Data Recebimento]]-Tabela3[[#This Row],[Data Emissao]])</f>
        <v/>
      </c>
    </row>
    <row r="80" spans="1:15" x14ac:dyDescent="0.25">
      <c r="A80" s="20">
        <v>2008</v>
      </c>
      <c r="B80" s="21" t="s">
        <v>78</v>
      </c>
      <c r="C80" s="20">
        <v>45000122</v>
      </c>
      <c r="D80" s="28">
        <v>46221</v>
      </c>
      <c r="E80" s="20" t="s">
        <v>1679</v>
      </c>
      <c r="F80" s="21" t="s">
        <v>1680</v>
      </c>
      <c r="G80" s="22">
        <v>11</v>
      </c>
      <c r="H80" s="23">
        <v>24500</v>
      </c>
      <c r="I80" s="23">
        <f>Tabela3[[#This Row],[Quantidade]]*Tabela3[[#This Row],[Valor Unitario]]</f>
        <v>269500</v>
      </c>
      <c r="J80" s="28">
        <v>46228</v>
      </c>
      <c r="K80" s="28">
        <v>46228</v>
      </c>
      <c r="L80" t="str">
        <f t="shared" ca="1" si="4"/>
        <v>Recebido</v>
      </c>
      <c r="M80" s="20" t="str">
        <f t="shared" si="5"/>
        <v>No Prazo</v>
      </c>
      <c r="N80">
        <f>IF(Tabela3[[#This Row],[Data Recebimento]]="","",Tabela3[[#This Row],[Data Recebimento]]-Tabela3[[#This Row],[Data Prevista]])</f>
        <v>0</v>
      </c>
      <c r="O80">
        <f>IF(Tabela3[[#This Row],[Data Recebimento]]="","",Tabela3[[#This Row],[Data Recebimento]]-Tabela3[[#This Row],[Data Emissao]])</f>
        <v>7</v>
      </c>
    </row>
    <row r="81" spans="1:15" x14ac:dyDescent="0.25">
      <c r="A81" s="24">
        <v>2009</v>
      </c>
      <c r="B81" s="25" t="s">
        <v>80</v>
      </c>
      <c r="C81" s="24">
        <v>45000125</v>
      </c>
      <c r="D81" s="29">
        <v>46222</v>
      </c>
      <c r="E81" s="24" t="s">
        <v>1681</v>
      </c>
      <c r="F81" s="25" t="s">
        <v>1682</v>
      </c>
      <c r="G81" s="26">
        <v>37</v>
      </c>
      <c r="H81" s="27">
        <v>1650</v>
      </c>
      <c r="I81" s="27">
        <f>Tabela3[[#This Row],[Quantidade]]*Tabela3[[#This Row],[Valor Unitario]]</f>
        <v>61050</v>
      </c>
      <c r="J81" s="28">
        <v>46229</v>
      </c>
      <c r="K81" s="28">
        <v>46231</v>
      </c>
      <c r="L81" t="str">
        <f t="shared" ca="1" si="4"/>
        <v>Recebido</v>
      </c>
      <c r="M81" s="20" t="str">
        <f t="shared" si="5"/>
        <v>Atrasado</v>
      </c>
      <c r="N81">
        <f>IF(Tabela3[[#This Row],[Data Recebimento]]="","",Tabela3[[#This Row],[Data Recebimento]]-Tabela3[[#This Row],[Data Prevista]])</f>
        <v>2</v>
      </c>
      <c r="O81">
        <f>IF(Tabela3[[#This Row],[Data Recebimento]]="","",Tabela3[[#This Row],[Data Recebimento]]-Tabela3[[#This Row],[Data Emissao]])</f>
        <v>9</v>
      </c>
    </row>
    <row r="82" spans="1:15" x14ac:dyDescent="0.25">
      <c r="A82" s="20">
        <v>5003</v>
      </c>
      <c r="B82" s="21" t="s">
        <v>121</v>
      </c>
      <c r="C82" s="20">
        <v>45000180</v>
      </c>
      <c r="D82" s="29">
        <v>46218</v>
      </c>
      <c r="E82" s="20" t="s">
        <v>1679</v>
      </c>
      <c r="F82" s="21" t="s">
        <v>1680</v>
      </c>
      <c r="G82" s="22">
        <v>96</v>
      </c>
      <c r="H82" s="23">
        <v>8900</v>
      </c>
      <c r="I82" s="23">
        <f>Tabela3[[#This Row],[Quantidade]]*Tabela3[[#This Row],[Valor Unitario]]</f>
        <v>854400</v>
      </c>
      <c r="J82" s="28">
        <v>46225</v>
      </c>
      <c r="K82" s="28"/>
      <c r="L82" t="str">
        <f t="shared" ca="1" si="4"/>
        <v>Atrasado</v>
      </c>
      <c r="M82" s="20" t="str">
        <f t="shared" si="5"/>
        <v/>
      </c>
      <c r="N82" t="str">
        <f>IF(Tabela3[[#This Row],[Data Recebimento]]="","",Tabela3[[#This Row],[Data Recebimento]]-Tabela3[[#This Row],[Data Prevista]])</f>
        <v/>
      </c>
      <c r="O82" t="str">
        <f>IF(Tabela3[[#This Row],[Data Recebimento]]="","",Tabela3[[#This Row],[Data Recebimento]]-Tabela3[[#This Row],[Data Emissao]])</f>
        <v/>
      </c>
    </row>
    <row r="83" spans="1:15" x14ac:dyDescent="0.25">
      <c r="A83" s="20">
        <v>5007</v>
      </c>
      <c r="B83" s="21" t="s">
        <v>129</v>
      </c>
      <c r="C83" s="20">
        <v>45000190</v>
      </c>
      <c r="D83" s="29">
        <v>46127</v>
      </c>
      <c r="E83" s="20" t="s">
        <v>1675</v>
      </c>
      <c r="F83" s="21" t="s">
        <v>176</v>
      </c>
      <c r="G83" s="22">
        <v>65</v>
      </c>
      <c r="H83" s="23">
        <v>340</v>
      </c>
      <c r="I83" s="23">
        <f>Tabela3[[#This Row],[Quantidade]]*Tabela3[[#This Row],[Valor Unitario]]</f>
        <v>22100</v>
      </c>
      <c r="J83" s="28">
        <v>46134</v>
      </c>
      <c r="K83" s="28">
        <v>46134</v>
      </c>
      <c r="L83" t="str">
        <f t="shared" ca="1" si="4"/>
        <v>Recebido</v>
      </c>
      <c r="M83" s="20" t="str">
        <f t="shared" si="5"/>
        <v>No Prazo</v>
      </c>
      <c r="N83">
        <f>IF(Tabela3[[#This Row],[Data Recebimento]]="","",Tabela3[[#This Row],[Data Recebimento]]-Tabela3[[#This Row],[Data Prevista]])</f>
        <v>0</v>
      </c>
      <c r="O83">
        <f>IF(Tabela3[[#This Row],[Data Recebimento]]="","",Tabela3[[#This Row],[Data Recebimento]]-Tabela3[[#This Row],[Data Emissao]])</f>
        <v>7</v>
      </c>
    </row>
    <row r="84" spans="1:15" x14ac:dyDescent="0.25">
      <c r="A84" s="24">
        <v>2011</v>
      </c>
      <c r="B84" s="25" t="s">
        <v>84</v>
      </c>
      <c r="C84" s="24">
        <v>45000131</v>
      </c>
      <c r="D84" s="28">
        <v>46243</v>
      </c>
      <c r="E84" s="24" t="s">
        <v>1676</v>
      </c>
      <c r="F84" s="25" t="s">
        <v>174</v>
      </c>
      <c r="G84" s="26">
        <v>24</v>
      </c>
      <c r="H84" s="27">
        <v>9800</v>
      </c>
      <c r="I84" s="27">
        <f>Tabela3[[#This Row],[Quantidade]]*Tabela3[[#This Row],[Valor Unitario]]</f>
        <v>235200</v>
      </c>
      <c r="J84" s="28">
        <v>46250</v>
      </c>
      <c r="K84" s="28">
        <v>46250</v>
      </c>
      <c r="L84" t="str">
        <f t="shared" ca="1" si="4"/>
        <v>Recebido</v>
      </c>
      <c r="M84" s="20" t="str">
        <f t="shared" si="5"/>
        <v>No Prazo</v>
      </c>
      <c r="N84">
        <f>IF(Tabela3[[#This Row],[Data Recebimento]]="","",Tabela3[[#This Row],[Data Recebimento]]-Tabela3[[#This Row],[Data Prevista]])</f>
        <v>0</v>
      </c>
      <c r="O84">
        <f>IF(Tabela3[[#This Row],[Data Recebimento]]="","",Tabela3[[#This Row],[Data Recebimento]]-Tabela3[[#This Row],[Data Emissao]])</f>
        <v>7</v>
      </c>
    </row>
    <row r="85" spans="1:15" x14ac:dyDescent="0.25">
      <c r="A85" s="24">
        <v>5004</v>
      </c>
      <c r="B85" s="25" t="s">
        <v>123</v>
      </c>
      <c r="C85" s="24">
        <v>45000183</v>
      </c>
      <c r="D85" s="29">
        <v>46241</v>
      </c>
      <c r="E85" s="24" t="s">
        <v>1681</v>
      </c>
      <c r="F85" s="25" t="s">
        <v>1682</v>
      </c>
      <c r="G85" s="26">
        <v>62</v>
      </c>
      <c r="H85" s="27">
        <v>1350</v>
      </c>
      <c r="I85" s="27">
        <f>Tabela3[[#This Row],[Quantidade]]*Tabela3[[#This Row],[Valor Unitario]]</f>
        <v>83700</v>
      </c>
      <c r="J85" s="28">
        <v>46248</v>
      </c>
      <c r="K85" s="28"/>
      <c r="L85" t="str">
        <f t="shared" ca="1" si="4"/>
        <v>Atrasado</v>
      </c>
      <c r="M85" s="20" t="str">
        <f t="shared" si="5"/>
        <v/>
      </c>
      <c r="N85" t="str">
        <f>IF(Tabela3[[#This Row],[Data Recebimento]]="","",Tabela3[[#This Row],[Data Recebimento]]-Tabela3[[#This Row],[Data Prevista]])</f>
        <v/>
      </c>
      <c r="O85" t="str">
        <f>IF(Tabela3[[#This Row],[Data Recebimento]]="","",Tabela3[[#This Row],[Data Recebimento]]-Tabela3[[#This Row],[Data Emissao]])</f>
        <v/>
      </c>
    </row>
    <row r="86" spans="1:15" x14ac:dyDescent="0.25">
      <c r="A86" s="20">
        <v>2012</v>
      </c>
      <c r="B86" s="21" t="s">
        <v>86</v>
      </c>
      <c r="C86" s="20">
        <v>45000134</v>
      </c>
      <c r="D86" s="28">
        <v>46028</v>
      </c>
      <c r="E86" s="20" t="s">
        <v>1677</v>
      </c>
      <c r="F86" s="21" t="s">
        <v>1678</v>
      </c>
      <c r="G86" s="22">
        <v>51</v>
      </c>
      <c r="H86" s="23">
        <v>5400</v>
      </c>
      <c r="I86" s="23">
        <f>Tabela3[[#This Row],[Quantidade]]*Tabela3[[#This Row],[Valor Unitario]]</f>
        <v>275400</v>
      </c>
      <c r="J86" s="28">
        <v>46035</v>
      </c>
      <c r="K86" s="28">
        <v>46035</v>
      </c>
      <c r="L86" t="str">
        <f t="shared" ca="1" si="4"/>
        <v>Recebido</v>
      </c>
      <c r="M86" s="20" t="str">
        <f t="shared" si="5"/>
        <v>No Prazo</v>
      </c>
      <c r="N86">
        <f>IF(Tabela3[[#This Row],[Data Recebimento]]="","",Tabela3[[#This Row],[Data Recebimento]]-Tabela3[[#This Row],[Data Prevista]])</f>
        <v>0</v>
      </c>
      <c r="O86">
        <f>IF(Tabela3[[#This Row],[Data Recebimento]]="","",Tabela3[[#This Row],[Data Recebimento]]-Tabela3[[#This Row],[Data Emissao]])</f>
        <v>7</v>
      </c>
    </row>
    <row r="87" spans="1:15" x14ac:dyDescent="0.25">
      <c r="A87" s="24">
        <v>2356</v>
      </c>
      <c r="B87" s="25" t="s">
        <v>88</v>
      </c>
      <c r="C87" s="24">
        <v>45000137</v>
      </c>
      <c r="D87" s="29">
        <v>46030</v>
      </c>
      <c r="E87" s="24" t="s">
        <v>1679</v>
      </c>
      <c r="F87" s="25" t="s">
        <v>1680</v>
      </c>
      <c r="G87" s="26">
        <v>37</v>
      </c>
      <c r="H87" s="27">
        <v>145</v>
      </c>
      <c r="I87" s="27">
        <f>Tabela3[[#This Row],[Quantidade]]*Tabela3[[#This Row],[Valor Unitario]]</f>
        <v>5365</v>
      </c>
      <c r="J87" s="28">
        <v>46037</v>
      </c>
      <c r="K87" s="28">
        <v>46037</v>
      </c>
      <c r="L87" t="str">
        <f t="shared" ca="1" si="4"/>
        <v>Recebido</v>
      </c>
      <c r="M87" s="20" t="str">
        <f t="shared" si="5"/>
        <v>No Prazo</v>
      </c>
      <c r="N87">
        <f>IF(Tabela3[[#This Row],[Data Recebimento]]="","",Tabela3[[#This Row],[Data Recebimento]]-Tabela3[[#This Row],[Data Prevista]])</f>
        <v>0</v>
      </c>
      <c r="O87">
        <f>IF(Tabela3[[#This Row],[Data Recebimento]]="","",Tabela3[[#This Row],[Data Recebimento]]-Tabela3[[#This Row],[Data Emissao]])</f>
        <v>7</v>
      </c>
    </row>
    <row r="88" spans="1:15" x14ac:dyDescent="0.25">
      <c r="A88" s="24">
        <v>7001</v>
      </c>
      <c r="B88" s="25" t="s">
        <v>140</v>
      </c>
      <c r="C88" s="24">
        <v>45000205</v>
      </c>
      <c r="D88" s="28">
        <v>46174</v>
      </c>
      <c r="E88" s="24" t="s">
        <v>1675</v>
      </c>
      <c r="F88" s="25" t="s">
        <v>176</v>
      </c>
      <c r="G88" s="26">
        <v>45</v>
      </c>
      <c r="H88" s="27">
        <v>210</v>
      </c>
      <c r="I88" s="27">
        <f>Tabela3[[#This Row],[Quantidade]]*Tabela3[[#This Row],[Valor Unitario]]</f>
        <v>9450</v>
      </c>
      <c r="J88" s="28">
        <v>46181</v>
      </c>
      <c r="K88" s="28">
        <v>46181</v>
      </c>
      <c r="L88" t="str">
        <f t="shared" ca="1" si="4"/>
        <v>Recebido</v>
      </c>
      <c r="M88" s="20" t="str">
        <f t="shared" si="5"/>
        <v>No Prazo</v>
      </c>
      <c r="N88">
        <f>IF(Tabela3[[#This Row],[Data Recebimento]]="","",Tabela3[[#This Row],[Data Recebimento]]-Tabela3[[#This Row],[Data Prevista]])</f>
        <v>0</v>
      </c>
      <c r="O88">
        <f>IF(Tabela3[[#This Row],[Data Recebimento]]="","",Tabela3[[#This Row],[Data Recebimento]]-Tabela3[[#This Row],[Data Emissao]])</f>
        <v>7</v>
      </c>
    </row>
    <row r="89" spans="1:15" x14ac:dyDescent="0.25">
      <c r="A89" s="20">
        <v>2357</v>
      </c>
      <c r="B89" s="21" t="s">
        <v>91</v>
      </c>
      <c r="C89" s="20">
        <v>45000140</v>
      </c>
      <c r="D89" s="29">
        <v>46065</v>
      </c>
      <c r="E89" s="20" t="s">
        <v>1681</v>
      </c>
      <c r="F89" s="21" t="s">
        <v>1682</v>
      </c>
      <c r="G89" s="22">
        <v>58</v>
      </c>
      <c r="H89" s="23">
        <v>210</v>
      </c>
      <c r="I89" s="23">
        <f>Tabela3[[#This Row],[Quantidade]]*Tabela3[[#This Row],[Valor Unitario]]</f>
        <v>12180</v>
      </c>
      <c r="J89" s="28">
        <v>46072</v>
      </c>
      <c r="K89" s="28">
        <v>46072</v>
      </c>
      <c r="L89" t="str">
        <f t="shared" ca="1" si="4"/>
        <v>Recebido</v>
      </c>
      <c r="M89" s="20" t="str">
        <f t="shared" si="5"/>
        <v>No Prazo</v>
      </c>
      <c r="N89">
        <f>IF(Tabela3[[#This Row],[Data Recebimento]]="","",Tabela3[[#This Row],[Data Recebimento]]-Tabela3[[#This Row],[Data Prevista]])</f>
        <v>0</v>
      </c>
      <c r="O89">
        <f>IF(Tabela3[[#This Row],[Data Recebimento]]="","",Tabela3[[#This Row],[Data Recebimento]]-Tabela3[[#This Row],[Data Emissao]])</f>
        <v>7</v>
      </c>
    </row>
    <row r="90" spans="1:15" x14ac:dyDescent="0.25">
      <c r="A90" s="20">
        <v>9001</v>
      </c>
      <c r="B90" s="21" t="s">
        <v>154</v>
      </c>
      <c r="C90" s="20">
        <v>45000220</v>
      </c>
      <c r="D90" s="28">
        <v>46028</v>
      </c>
      <c r="E90" s="20" t="s">
        <v>1675</v>
      </c>
      <c r="F90" s="21" t="s">
        <v>176</v>
      </c>
      <c r="G90" s="22">
        <v>45</v>
      </c>
      <c r="H90" s="23">
        <v>18</v>
      </c>
      <c r="I90" s="23">
        <f>Tabela3[[#This Row],[Quantidade]]*Tabela3[[#This Row],[Valor Unitario]]</f>
        <v>810</v>
      </c>
      <c r="J90" s="28">
        <v>46035</v>
      </c>
      <c r="K90" s="28">
        <v>46035</v>
      </c>
      <c r="L90" t="str">
        <f t="shared" ca="1" si="4"/>
        <v>Recebido</v>
      </c>
      <c r="M90" s="20" t="str">
        <f t="shared" si="5"/>
        <v>No Prazo</v>
      </c>
      <c r="N90">
        <f>IF(Tabela3[[#This Row],[Data Recebimento]]="","",Tabela3[[#This Row],[Data Recebimento]]-Tabela3[[#This Row],[Data Prevista]])</f>
        <v>0</v>
      </c>
      <c r="O90">
        <f>IF(Tabela3[[#This Row],[Data Recebimento]]="","",Tabela3[[#This Row],[Data Recebimento]]-Tabela3[[#This Row],[Data Emissao]])</f>
        <v>7</v>
      </c>
    </row>
    <row r="91" spans="1:15" x14ac:dyDescent="0.25">
      <c r="A91" s="24">
        <v>5006</v>
      </c>
      <c r="B91" s="25" t="s">
        <v>127</v>
      </c>
      <c r="C91" s="24">
        <v>45000189</v>
      </c>
      <c r="D91" s="29">
        <v>46069</v>
      </c>
      <c r="E91" s="24" t="s">
        <v>1676</v>
      </c>
      <c r="F91" s="25" t="s">
        <v>174</v>
      </c>
      <c r="G91" s="26">
        <v>82</v>
      </c>
      <c r="H91" s="27">
        <v>22</v>
      </c>
      <c r="I91" s="27">
        <f>Tabela3[[#This Row],[Quantidade]]*Tabela3[[#This Row],[Valor Unitario]]</f>
        <v>1804</v>
      </c>
      <c r="J91" s="28">
        <v>46076</v>
      </c>
      <c r="K91" s="28"/>
      <c r="L91" t="str">
        <f t="shared" ca="1" si="4"/>
        <v>Atrasado</v>
      </c>
      <c r="M91" s="20" t="str">
        <f t="shared" si="5"/>
        <v/>
      </c>
      <c r="N91" t="str">
        <f>IF(Tabela3[[#This Row],[Data Recebimento]]="","",Tabela3[[#This Row],[Data Recebimento]]-Tabela3[[#This Row],[Data Prevista]])</f>
        <v/>
      </c>
      <c r="O91" t="str">
        <f>IF(Tabela3[[#This Row],[Data Recebimento]]="","",Tabela3[[#This Row],[Data Recebimento]]-Tabela3[[#This Row],[Data Emissao]])</f>
        <v/>
      </c>
    </row>
    <row r="92" spans="1:15" x14ac:dyDescent="0.25">
      <c r="A92" s="20">
        <v>2359</v>
      </c>
      <c r="B92" s="21" t="s">
        <v>95</v>
      </c>
      <c r="C92" s="20">
        <v>45000146</v>
      </c>
      <c r="D92" s="28">
        <v>46099</v>
      </c>
      <c r="E92" s="20" t="s">
        <v>1676</v>
      </c>
      <c r="F92" s="21" t="s">
        <v>174</v>
      </c>
      <c r="G92" s="22">
        <v>28</v>
      </c>
      <c r="H92" s="23">
        <v>1240</v>
      </c>
      <c r="I92" s="23">
        <f>Tabela3[[#This Row],[Quantidade]]*Tabela3[[#This Row],[Valor Unitario]]</f>
        <v>34720</v>
      </c>
      <c r="J92" s="28">
        <v>46106</v>
      </c>
      <c r="K92" s="28">
        <v>46106</v>
      </c>
      <c r="L92" t="str">
        <f t="shared" ca="1" si="4"/>
        <v>Recebido</v>
      </c>
      <c r="M92" s="20" t="str">
        <f t="shared" si="5"/>
        <v>No Prazo</v>
      </c>
      <c r="N92">
        <f>IF(Tabela3[[#This Row],[Data Recebimento]]="","",Tabela3[[#This Row],[Data Recebimento]]-Tabela3[[#This Row],[Data Prevista]])</f>
        <v>0</v>
      </c>
      <c r="O92">
        <f>IF(Tabela3[[#This Row],[Data Recebimento]]="","",Tabela3[[#This Row],[Data Recebimento]]-Tabela3[[#This Row],[Data Emissao]])</f>
        <v>7</v>
      </c>
    </row>
    <row r="93" spans="1:15" x14ac:dyDescent="0.25">
      <c r="A93" s="24">
        <v>2360</v>
      </c>
      <c r="B93" s="25" t="s">
        <v>97</v>
      </c>
      <c r="C93" s="24">
        <v>45000149</v>
      </c>
      <c r="D93" s="29">
        <v>46100</v>
      </c>
      <c r="E93" s="24" t="s">
        <v>1677</v>
      </c>
      <c r="F93" s="25" t="s">
        <v>1678</v>
      </c>
      <c r="G93" s="26">
        <v>44</v>
      </c>
      <c r="H93" s="27">
        <v>2380</v>
      </c>
      <c r="I93" s="27">
        <f>Tabela3[[#This Row],[Quantidade]]*Tabela3[[#This Row],[Valor Unitario]]</f>
        <v>104720</v>
      </c>
      <c r="J93" s="28">
        <v>46107</v>
      </c>
      <c r="K93" s="28">
        <v>46109</v>
      </c>
      <c r="L93" t="str">
        <f t="shared" ca="1" si="4"/>
        <v>Recebido</v>
      </c>
      <c r="M93" s="20" t="str">
        <f t="shared" si="5"/>
        <v>Atrasado</v>
      </c>
      <c r="N93">
        <f>IF(Tabela3[[#This Row],[Data Recebimento]]="","",Tabela3[[#This Row],[Data Recebimento]]-Tabela3[[#This Row],[Data Prevista]])</f>
        <v>2</v>
      </c>
      <c r="O93">
        <f>IF(Tabela3[[#This Row],[Data Recebimento]]="","",Tabela3[[#This Row],[Data Recebimento]]-Tabela3[[#This Row],[Data Emissao]])</f>
        <v>9</v>
      </c>
    </row>
    <row r="94" spans="1:15" x14ac:dyDescent="0.25">
      <c r="A94" s="20">
        <v>5007</v>
      </c>
      <c r="B94" s="21" t="s">
        <v>129</v>
      </c>
      <c r="C94" s="20">
        <v>45000192</v>
      </c>
      <c r="D94" s="28">
        <v>46098</v>
      </c>
      <c r="E94" s="20" t="s">
        <v>1677</v>
      </c>
      <c r="F94" s="21" t="s">
        <v>1678</v>
      </c>
      <c r="G94" s="22">
        <v>55</v>
      </c>
      <c r="H94" s="23">
        <v>340</v>
      </c>
      <c r="I94" s="23">
        <f>Tabela3[[#This Row],[Quantidade]]*Tabela3[[#This Row],[Valor Unitario]]</f>
        <v>18700</v>
      </c>
      <c r="J94" s="28">
        <v>46105</v>
      </c>
      <c r="K94" s="28"/>
      <c r="L94" t="str">
        <f t="shared" ca="1" si="4"/>
        <v>Atrasado</v>
      </c>
      <c r="M94" s="20" t="str">
        <f t="shared" si="5"/>
        <v/>
      </c>
      <c r="N94" t="str">
        <f>IF(Tabela3[[#This Row],[Data Recebimento]]="","",Tabela3[[#This Row],[Data Recebimento]]-Tabela3[[#This Row],[Data Prevista]])</f>
        <v/>
      </c>
      <c r="O94" t="str">
        <f>IF(Tabela3[[#This Row],[Data Recebimento]]="","",Tabela3[[#This Row],[Data Recebimento]]-Tabela3[[#This Row],[Data Emissao]])</f>
        <v/>
      </c>
    </row>
    <row r="95" spans="1:15" x14ac:dyDescent="0.25">
      <c r="A95" s="20">
        <v>2361</v>
      </c>
      <c r="B95" s="21" t="s">
        <v>99</v>
      </c>
      <c r="C95" s="20">
        <v>45000152</v>
      </c>
      <c r="D95" s="29">
        <v>46127</v>
      </c>
      <c r="E95" s="20" t="s">
        <v>1679</v>
      </c>
      <c r="F95" s="21" t="s">
        <v>1680</v>
      </c>
      <c r="G95" s="22">
        <v>18</v>
      </c>
      <c r="H95" s="23">
        <v>68</v>
      </c>
      <c r="I95" s="23">
        <f>Tabela3[[#This Row],[Quantidade]]*Tabela3[[#This Row],[Valor Unitario]]</f>
        <v>1224</v>
      </c>
      <c r="J95" s="28">
        <v>46134</v>
      </c>
      <c r="K95" s="28">
        <v>46134</v>
      </c>
      <c r="L95" t="str">
        <f t="shared" ca="1" si="4"/>
        <v>Recebido</v>
      </c>
      <c r="M95" s="20" t="str">
        <f t="shared" si="5"/>
        <v>No Prazo</v>
      </c>
      <c r="N95">
        <f>IF(Tabela3[[#This Row],[Data Recebimento]]="","",Tabela3[[#This Row],[Data Recebimento]]-Tabela3[[#This Row],[Data Prevista]])</f>
        <v>0</v>
      </c>
      <c r="O95">
        <f>IF(Tabela3[[#This Row],[Data Recebimento]]="","",Tabela3[[#This Row],[Data Recebimento]]-Tabela3[[#This Row],[Data Emissao]])</f>
        <v>7</v>
      </c>
    </row>
    <row r="96" spans="1:15" x14ac:dyDescent="0.25">
      <c r="A96" s="24">
        <v>3001</v>
      </c>
      <c r="B96" s="25" t="s">
        <v>101</v>
      </c>
      <c r="C96" s="24">
        <v>45000155</v>
      </c>
      <c r="D96" s="28">
        <v>46125</v>
      </c>
      <c r="E96" s="24" t="s">
        <v>1681</v>
      </c>
      <c r="F96" s="25" t="s">
        <v>1682</v>
      </c>
      <c r="G96" s="26">
        <v>27</v>
      </c>
      <c r="H96" s="27">
        <v>320</v>
      </c>
      <c r="I96" s="27">
        <f>Tabela3[[#This Row],[Quantidade]]*Tabela3[[#This Row],[Valor Unitario]]</f>
        <v>8640</v>
      </c>
      <c r="J96" s="28">
        <v>46132</v>
      </c>
      <c r="K96" s="28">
        <v>46132</v>
      </c>
      <c r="L96" t="str">
        <f t="shared" ca="1" si="4"/>
        <v>Recebido</v>
      </c>
      <c r="M96" s="20" t="str">
        <f t="shared" si="5"/>
        <v>No Prazo</v>
      </c>
      <c r="N96">
        <f>IF(Tabela3[[#This Row],[Data Recebimento]]="","",Tabela3[[#This Row],[Data Recebimento]]-Tabela3[[#This Row],[Data Prevista]])</f>
        <v>0</v>
      </c>
      <c r="O96">
        <f>IF(Tabela3[[#This Row],[Data Recebimento]]="","",Tabela3[[#This Row],[Data Recebimento]]-Tabela3[[#This Row],[Data Emissao]])</f>
        <v>7</v>
      </c>
    </row>
    <row r="97" spans="1:15" x14ac:dyDescent="0.25">
      <c r="A97" s="24">
        <v>6001</v>
      </c>
      <c r="B97" s="25" t="s">
        <v>131</v>
      </c>
      <c r="C97" s="24">
        <v>45000195</v>
      </c>
      <c r="D97" s="29">
        <v>46123</v>
      </c>
      <c r="E97" s="24" t="s">
        <v>1679</v>
      </c>
      <c r="F97" s="25" t="s">
        <v>1680</v>
      </c>
      <c r="G97" s="26">
        <v>68</v>
      </c>
      <c r="H97" s="27">
        <v>15800</v>
      </c>
      <c r="I97" s="27">
        <f>Tabela3[[#This Row],[Quantidade]]*Tabela3[[#This Row],[Valor Unitario]]</f>
        <v>1074400</v>
      </c>
      <c r="J97" s="28">
        <v>46130</v>
      </c>
      <c r="K97" s="28"/>
      <c r="L97" t="str">
        <f t="shared" ca="1" si="4"/>
        <v>Atrasado</v>
      </c>
      <c r="M97" s="20" t="str">
        <f t="shared" si="5"/>
        <v/>
      </c>
      <c r="N97" t="str">
        <f>IF(Tabela3[[#This Row],[Data Recebimento]]="","",Tabela3[[#This Row],[Data Recebimento]]-Tabela3[[#This Row],[Data Prevista]])</f>
        <v/>
      </c>
      <c r="O97" t="str">
        <f>IF(Tabela3[[#This Row],[Data Recebimento]]="","",Tabela3[[#This Row],[Data Recebimento]]-Tabela3[[#This Row],[Data Emissao]])</f>
        <v/>
      </c>
    </row>
    <row r="98" spans="1:15" x14ac:dyDescent="0.25">
      <c r="A98" s="24">
        <v>2005</v>
      </c>
      <c r="B98" s="25" t="s">
        <v>71</v>
      </c>
      <c r="C98" s="24">
        <v>45000113</v>
      </c>
      <c r="D98" s="29">
        <v>46154</v>
      </c>
      <c r="E98" s="24" t="s">
        <v>1675</v>
      </c>
      <c r="F98" s="25" t="s">
        <v>176</v>
      </c>
      <c r="G98" s="26">
        <v>46</v>
      </c>
      <c r="H98" s="27">
        <v>3450</v>
      </c>
      <c r="I98" s="27">
        <f>Tabela3[[#This Row],[Quantidade]]*Tabela3[[#This Row],[Valor Unitario]]</f>
        <v>158700</v>
      </c>
      <c r="J98" s="28">
        <v>46156</v>
      </c>
      <c r="K98" s="28">
        <v>46156</v>
      </c>
      <c r="L98" t="str">
        <f t="shared" ref="L98:L129" ca="1" si="6">IF(K98&lt;&gt;"","Recebido",IF(TODAY()&gt;J98,"Atrasado","Em Transito"))</f>
        <v>Recebido</v>
      </c>
      <c r="M98" s="20" t="str">
        <f t="shared" ref="M98:M129" si="7">IF(K98="","",IF(K98&lt;=J98,"No Prazo","Atrasado"))</f>
        <v>No Prazo</v>
      </c>
      <c r="N98">
        <f>IF(Tabela3[[#This Row],[Data Recebimento]]="","",Tabela3[[#This Row],[Data Recebimento]]-Tabela3[[#This Row],[Data Prevista]])</f>
        <v>0</v>
      </c>
      <c r="O98">
        <f>IF(Tabela3[[#This Row],[Data Recebimento]]="","",Tabela3[[#This Row],[Data Recebimento]]-Tabela3[[#This Row],[Data Emissao]])</f>
        <v>2</v>
      </c>
    </row>
    <row r="99" spans="1:15" x14ac:dyDescent="0.25">
      <c r="A99" s="24">
        <v>3003</v>
      </c>
      <c r="B99" s="25" t="s">
        <v>107</v>
      </c>
      <c r="C99" s="24">
        <v>45000161</v>
      </c>
      <c r="D99" s="29">
        <v>46149</v>
      </c>
      <c r="E99" s="24" t="s">
        <v>1676</v>
      </c>
      <c r="F99" s="25" t="s">
        <v>174</v>
      </c>
      <c r="G99" s="26">
        <v>23</v>
      </c>
      <c r="H99" s="27">
        <v>2450</v>
      </c>
      <c r="I99" s="27">
        <f>Tabela3[[#This Row],[Quantidade]]*Tabela3[[#This Row],[Valor Unitario]]</f>
        <v>56350</v>
      </c>
      <c r="J99" s="28">
        <v>46156</v>
      </c>
      <c r="K99" s="28">
        <v>46156</v>
      </c>
      <c r="L99" t="str">
        <f t="shared" ca="1" si="6"/>
        <v>Recebido</v>
      </c>
      <c r="M99" s="20" t="str">
        <f t="shared" si="7"/>
        <v>No Prazo</v>
      </c>
      <c r="N99">
        <f>IF(Tabela3[[#This Row],[Data Recebimento]]="","",Tabela3[[#This Row],[Data Recebimento]]-Tabela3[[#This Row],[Data Prevista]])</f>
        <v>0</v>
      </c>
      <c r="O99">
        <f>IF(Tabela3[[#This Row],[Data Recebimento]]="","",Tabela3[[#This Row],[Data Recebimento]]-Tabela3[[#This Row],[Data Emissao]])</f>
        <v>7</v>
      </c>
    </row>
    <row r="100" spans="1:15" x14ac:dyDescent="0.25">
      <c r="A100" s="20">
        <v>6002</v>
      </c>
      <c r="B100" s="21" t="s">
        <v>134</v>
      </c>
      <c r="C100" s="20">
        <v>45000198</v>
      </c>
      <c r="D100" s="28">
        <v>46147</v>
      </c>
      <c r="E100" s="20" t="s">
        <v>1681</v>
      </c>
      <c r="F100" s="21" t="s">
        <v>1682</v>
      </c>
      <c r="G100" s="22">
        <v>74</v>
      </c>
      <c r="H100" s="23">
        <v>6900</v>
      </c>
      <c r="I100" s="23">
        <f>Tabela3[[#This Row],[Quantidade]]*Tabela3[[#This Row],[Valor Unitario]]</f>
        <v>510600</v>
      </c>
      <c r="J100" s="28">
        <v>46154</v>
      </c>
      <c r="K100" s="28"/>
      <c r="L100" t="str">
        <f t="shared" ca="1" si="6"/>
        <v>Atrasado</v>
      </c>
      <c r="M100" s="20" t="str">
        <f t="shared" si="7"/>
        <v/>
      </c>
      <c r="N100" t="str">
        <f>IF(Tabela3[[#This Row],[Data Recebimento]]="","",Tabela3[[#This Row],[Data Recebimento]]-Tabela3[[#This Row],[Data Prevista]])</f>
        <v/>
      </c>
      <c r="O100" t="str">
        <f>IF(Tabela3[[#This Row],[Data Recebimento]]="","",Tabela3[[#This Row],[Data Recebimento]]-Tabela3[[#This Row],[Data Emissao]])</f>
        <v/>
      </c>
    </row>
    <row r="101" spans="1:15" x14ac:dyDescent="0.25">
      <c r="A101" s="20">
        <v>3004</v>
      </c>
      <c r="B101" s="21" t="s">
        <v>109</v>
      </c>
      <c r="C101" s="20">
        <v>45000164</v>
      </c>
      <c r="D101" s="29">
        <v>46176</v>
      </c>
      <c r="E101" s="20" t="s">
        <v>1677</v>
      </c>
      <c r="F101" s="21" t="s">
        <v>1678</v>
      </c>
      <c r="G101" s="22">
        <v>16</v>
      </c>
      <c r="H101" s="23">
        <v>2180</v>
      </c>
      <c r="I101" s="23">
        <f>Tabela3[[#This Row],[Quantidade]]*Tabela3[[#This Row],[Valor Unitario]]</f>
        <v>34880</v>
      </c>
      <c r="J101" s="28">
        <v>46183</v>
      </c>
      <c r="K101" s="28">
        <v>46183</v>
      </c>
      <c r="L101" t="str">
        <f t="shared" ca="1" si="6"/>
        <v>Recebido</v>
      </c>
      <c r="M101" s="20" t="str">
        <f t="shared" si="7"/>
        <v>No Prazo</v>
      </c>
      <c r="N101">
        <f>IF(Tabela3[[#This Row],[Data Recebimento]]="","",Tabela3[[#This Row],[Data Recebimento]]-Tabela3[[#This Row],[Data Prevista]])</f>
        <v>0</v>
      </c>
      <c r="O101">
        <f>IF(Tabela3[[#This Row],[Data Recebimento]]="","",Tabela3[[#This Row],[Data Recebimento]]-Tabela3[[#This Row],[Data Emissao]])</f>
        <v>7</v>
      </c>
    </row>
    <row r="102" spans="1:15" x14ac:dyDescent="0.25">
      <c r="A102" s="24">
        <v>4001</v>
      </c>
      <c r="B102" s="25" t="s">
        <v>111</v>
      </c>
      <c r="C102" s="24">
        <v>45000167</v>
      </c>
      <c r="D102" s="28">
        <v>46174</v>
      </c>
      <c r="E102" s="24" t="s">
        <v>1679</v>
      </c>
      <c r="F102" s="25" t="s">
        <v>1680</v>
      </c>
      <c r="G102" s="26">
        <v>33</v>
      </c>
      <c r="H102" s="27">
        <v>3200</v>
      </c>
      <c r="I102" s="27">
        <f>Tabela3[[#This Row],[Quantidade]]*Tabela3[[#This Row],[Valor Unitario]]</f>
        <v>105600</v>
      </c>
      <c r="J102" s="28">
        <v>46181</v>
      </c>
      <c r="K102" s="28">
        <v>46188</v>
      </c>
      <c r="L102" t="str">
        <f t="shared" ca="1" si="6"/>
        <v>Recebido</v>
      </c>
      <c r="M102" s="20" t="str">
        <f t="shared" si="7"/>
        <v>Atrasado</v>
      </c>
      <c r="N102">
        <f>IF(Tabela3[[#This Row],[Data Recebimento]]="","",Tabela3[[#This Row],[Data Recebimento]]-Tabela3[[#This Row],[Data Prevista]])</f>
        <v>7</v>
      </c>
      <c r="O102">
        <f>IF(Tabela3[[#This Row],[Data Recebimento]]="","",Tabela3[[#This Row],[Data Recebimento]]-Tabela3[[#This Row],[Data Emissao]])</f>
        <v>14</v>
      </c>
    </row>
    <row r="103" spans="1:15" x14ac:dyDescent="0.25">
      <c r="A103" s="20">
        <v>2010</v>
      </c>
      <c r="B103" s="21" t="s">
        <v>82</v>
      </c>
      <c r="C103" s="20">
        <v>45000128</v>
      </c>
      <c r="D103" s="28">
        <v>46247</v>
      </c>
      <c r="E103" s="20" t="s">
        <v>1675</v>
      </c>
      <c r="F103" s="21" t="s">
        <v>176</v>
      </c>
      <c r="G103" s="22">
        <v>59</v>
      </c>
      <c r="H103" s="23">
        <v>2150</v>
      </c>
      <c r="I103" s="23">
        <f>Tabela3[[#This Row],[Quantidade]]*Tabela3[[#This Row],[Valor Unitario]]</f>
        <v>126850</v>
      </c>
      <c r="J103" s="28">
        <v>46254</v>
      </c>
      <c r="K103" s="28">
        <v>46254</v>
      </c>
      <c r="L103" t="str">
        <f t="shared" ca="1" si="6"/>
        <v>Recebido</v>
      </c>
      <c r="M103" s="20" t="str">
        <f t="shared" si="7"/>
        <v>No Prazo</v>
      </c>
      <c r="N103">
        <f>IF(Tabela3[[#This Row],[Data Recebimento]]="","",Tabela3[[#This Row],[Data Recebimento]]-Tabela3[[#This Row],[Data Prevista]])</f>
        <v>0</v>
      </c>
      <c r="O103">
        <f>IF(Tabela3[[#This Row],[Data Recebimento]]="","",Tabela3[[#This Row],[Data Recebimento]]-Tabela3[[#This Row],[Data Emissao]])</f>
        <v>7</v>
      </c>
    </row>
    <row r="104" spans="1:15" x14ac:dyDescent="0.25">
      <c r="A104" s="20">
        <v>4002</v>
      </c>
      <c r="B104" s="21" t="s">
        <v>114</v>
      </c>
      <c r="C104" s="20">
        <v>45000170</v>
      </c>
      <c r="D104" s="28">
        <v>46221</v>
      </c>
      <c r="E104" s="20" t="s">
        <v>1681</v>
      </c>
      <c r="F104" s="21" t="s">
        <v>1682</v>
      </c>
      <c r="G104" s="22">
        <v>51</v>
      </c>
      <c r="H104" s="23">
        <v>4100</v>
      </c>
      <c r="I104" s="23">
        <f>Tabela3[[#This Row],[Quantidade]]*Tabela3[[#This Row],[Valor Unitario]]</f>
        <v>209100</v>
      </c>
      <c r="J104" s="28">
        <v>46228</v>
      </c>
      <c r="K104" s="28">
        <v>46228</v>
      </c>
      <c r="L104" t="str">
        <f t="shared" ca="1" si="6"/>
        <v>Recebido</v>
      </c>
      <c r="M104" s="20" t="str">
        <f t="shared" si="7"/>
        <v>No Prazo</v>
      </c>
      <c r="N104">
        <f>IF(Tabela3[[#This Row],[Data Recebimento]]="","",Tabela3[[#This Row],[Data Recebimento]]-Tabela3[[#This Row],[Data Prevista]])</f>
        <v>0</v>
      </c>
      <c r="O104">
        <f>IF(Tabela3[[#This Row],[Data Recebimento]]="","",Tabela3[[#This Row],[Data Recebimento]]-Tabela3[[#This Row],[Data Emissao]])</f>
        <v>7</v>
      </c>
    </row>
    <row r="105" spans="1:15" x14ac:dyDescent="0.25">
      <c r="A105" s="24">
        <v>2358</v>
      </c>
      <c r="B105" s="25" t="s">
        <v>93</v>
      </c>
      <c r="C105" s="24">
        <v>45000143</v>
      </c>
      <c r="D105" s="28">
        <v>46067</v>
      </c>
      <c r="E105" s="24" t="s">
        <v>1675</v>
      </c>
      <c r="F105" s="25" t="s">
        <v>176</v>
      </c>
      <c r="G105" s="26">
        <v>55</v>
      </c>
      <c r="H105" s="27">
        <v>890</v>
      </c>
      <c r="I105" s="27">
        <f>Tabela3[[#This Row],[Quantidade]]*Tabela3[[#This Row],[Valor Unitario]]</f>
        <v>48950</v>
      </c>
      <c r="J105" s="28">
        <v>46074</v>
      </c>
      <c r="K105" s="28">
        <v>46074</v>
      </c>
      <c r="L105" t="str">
        <f t="shared" ca="1" si="6"/>
        <v>Recebido</v>
      </c>
      <c r="M105" s="20" t="str">
        <f t="shared" si="7"/>
        <v>No Prazo</v>
      </c>
      <c r="N105">
        <f>IF(Tabela3[[#This Row],[Data Recebimento]]="","",Tabela3[[#This Row],[Data Recebimento]]-Tabela3[[#This Row],[Data Prevista]])</f>
        <v>0</v>
      </c>
      <c r="O105">
        <f>IF(Tabela3[[#This Row],[Data Recebimento]]="","",Tabela3[[#This Row],[Data Recebimento]]-Tabela3[[#This Row],[Data Emissao]])</f>
        <v>7</v>
      </c>
    </row>
    <row r="106" spans="1:15" x14ac:dyDescent="0.25">
      <c r="A106" s="20">
        <v>6004</v>
      </c>
      <c r="B106" s="21" t="s">
        <v>138</v>
      </c>
      <c r="C106" s="20">
        <v>45000204</v>
      </c>
      <c r="D106" s="29">
        <v>46218</v>
      </c>
      <c r="E106" s="20" t="s">
        <v>1676</v>
      </c>
      <c r="F106" s="21" t="s">
        <v>174</v>
      </c>
      <c r="G106" s="22">
        <v>71</v>
      </c>
      <c r="H106" s="23">
        <v>2650</v>
      </c>
      <c r="I106" s="23">
        <f>Tabela3[[#This Row],[Quantidade]]*Tabela3[[#This Row],[Valor Unitario]]</f>
        <v>188150</v>
      </c>
      <c r="J106" s="28">
        <v>46225</v>
      </c>
      <c r="K106" s="28"/>
      <c r="L106" t="str">
        <f t="shared" ca="1" si="6"/>
        <v>Atrasado</v>
      </c>
      <c r="M106" s="20" t="str">
        <f t="shared" si="7"/>
        <v/>
      </c>
      <c r="N106" t="str">
        <f>IF(Tabela3[[#This Row],[Data Recebimento]]="","",Tabela3[[#This Row],[Data Recebimento]]-Tabela3[[#This Row],[Data Prevista]])</f>
        <v/>
      </c>
      <c r="O106" t="str">
        <f>IF(Tabela3[[#This Row],[Data Recebimento]]="","",Tabela3[[#This Row],[Data Recebimento]]-Tabela3[[#This Row],[Data Emissao]])</f>
        <v/>
      </c>
    </row>
    <row r="107" spans="1:15" x14ac:dyDescent="0.25">
      <c r="A107" s="20">
        <v>5002</v>
      </c>
      <c r="B107" s="21" t="s">
        <v>119</v>
      </c>
      <c r="C107" s="20">
        <v>45000176</v>
      </c>
      <c r="D107" s="28">
        <v>46247</v>
      </c>
      <c r="E107" s="20" t="s">
        <v>1676</v>
      </c>
      <c r="F107" s="21" t="s">
        <v>174</v>
      </c>
      <c r="G107" s="22">
        <v>17</v>
      </c>
      <c r="H107" s="23">
        <v>17800</v>
      </c>
      <c r="I107" s="23">
        <f>Tabela3[[#This Row],[Quantidade]]*Tabela3[[#This Row],[Valor Unitario]]</f>
        <v>302600</v>
      </c>
      <c r="J107" s="28">
        <v>46254</v>
      </c>
      <c r="K107" s="28">
        <v>46254</v>
      </c>
      <c r="L107" t="str">
        <f t="shared" ca="1" si="6"/>
        <v>Recebido</v>
      </c>
      <c r="M107" s="20" t="str">
        <f t="shared" si="7"/>
        <v>No Prazo</v>
      </c>
      <c r="N107">
        <f>IF(Tabela3[[#This Row],[Data Recebimento]]="","",Tabela3[[#This Row],[Data Recebimento]]-Tabela3[[#This Row],[Data Prevista]])</f>
        <v>0</v>
      </c>
      <c r="O107">
        <f>IF(Tabela3[[#This Row],[Data Recebimento]]="","",Tabela3[[#This Row],[Data Recebimento]]-Tabela3[[#This Row],[Data Emissao]])</f>
        <v>7</v>
      </c>
    </row>
    <row r="108" spans="1:15" x14ac:dyDescent="0.25">
      <c r="A108" s="24">
        <v>5003</v>
      </c>
      <c r="B108" s="25" t="s">
        <v>121</v>
      </c>
      <c r="C108" s="24">
        <v>45000179</v>
      </c>
      <c r="D108" s="28">
        <v>46243</v>
      </c>
      <c r="E108" s="24" t="s">
        <v>1677</v>
      </c>
      <c r="F108" s="25" t="s">
        <v>1678</v>
      </c>
      <c r="G108" s="26">
        <v>30</v>
      </c>
      <c r="H108" s="27">
        <v>8900</v>
      </c>
      <c r="I108" s="27">
        <f>Tabela3[[#This Row],[Quantidade]]*Tabela3[[#This Row],[Valor Unitario]]</f>
        <v>267000</v>
      </c>
      <c r="J108" s="28">
        <v>46250</v>
      </c>
      <c r="K108" s="28">
        <v>46250</v>
      </c>
      <c r="L108" t="str">
        <f t="shared" ca="1" si="6"/>
        <v>Recebido</v>
      </c>
      <c r="M108" s="20" t="str">
        <f t="shared" si="7"/>
        <v>No Prazo</v>
      </c>
      <c r="N108">
        <f>IF(Tabela3[[#This Row],[Data Recebimento]]="","",Tabela3[[#This Row],[Data Recebimento]]-Tabela3[[#This Row],[Data Prevista]])</f>
        <v>0</v>
      </c>
      <c r="O108">
        <f>IF(Tabela3[[#This Row],[Data Recebimento]]="","",Tabela3[[#This Row],[Data Recebimento]]-Tabela3[[#This Row],[Data Emissao]])</f>
        <v>7</v>
      </c>
    </row>
    <row r="109" spans="1:15" x14ac:dyDescent="0.25">
      <c r="A109" s="24">
        <v>7001</v>
      </c>
      <c r="B109" s="25" t="s">
        <v>140</v>
      </c>
      <c r="C109" s="24">
        <v>45000207</v>
      </c>
      <c r="D109" s="29">
        <v>46241</v>
      </c>
      <c r="E109" s="24" t="s">
        <v>1677</v>
      </c>
      <c r="F109" s="25" t="s">
        <v>1678</v>
      </c>
      <c r="G109" s="26">
        <v>44</v>
      </c>
      <c r="H109" s="27">
        <v>210</v>
      </c>
      <c r="I109" s="27">
        <f>Tabela3[[#This Row],[Quantidade]]*Tabela3[[#This Row],[Valor Unitario]]</f>
        <v>9240</v>
      </c>
      <c r="J109" s="28">
        <v>46248</v>
      </c>
      <c r="K109" s="28"/>
      <c r="L109" t="str">
        <f t="shared" ca="1" si="6"/>
        <v>Atrasado</v>
      </c>
      <c r="M109" s="20" t="str">
        <f t="shared" si="7"/>
        <v/>
      </c>
      <c r="N109" t="str">
        <f>IF(Tabela3[[#This Row],[Data Recebimento]]="","",Tabela3[[#This Row],[Data Recebimento]]-Tabela3[[#This Row],[Data Prevista]])</f>
        <v/>
      </c>
      <c r="O109" t="str">
        <f>IF(Tabela3[[#This Row],[Data Recebimento]]="","",Tabela3[[#This Row],[Data Recebimento]]-Tabela3[[#This Row],[Data Emissao]])</f>
        <v/>
      </c>
    </row>
    <row r="110" spans="1:15" x14ac:dyDescent="0.25">
      <c r="A110" s="20">
        <v>5004</v>
      </c>
      <c r="B110" s="21" t="s">
        <v>123</v>
      </c>
      <c r="C110" s="20">
        <v>45000182</v>
      </c>
      <c r="D110" s="28">
        <v>46028</v>
      </c>
      <c r="E110" s="20" t="s">
        <v>1679</v>
      </c>
      <c r="F110" s="21" t="s">
        <v>1680</v>
      </c>
      <c r="G110" s="22">
        <v>48</v>
      </c>
      <c r="H110" s="23">
        <v>1350</v>
      </c>
      <c r="I110" s="23">
        <f>Tabela3[[#This Row],[Quantidade]]*Tabela3[[#This Row],[Valor Unitario]]</f>
        <v>64800</v>
      </c>
      <c r="J110" s="28">
        <v>46035</v>
      </c>
      <c r="K110" s="28">
        <v>46035</v>
      </c>
      <c r="L110" t="str">
        <f t="shared" ca="1" si="6"/>
        <v>Recebido</v>
      </c>
      <c r="M110" s="20" t="str">
        <f t="shared" si="7"/>
        <v>No Prazo</v>
      </c>
      <c r="N110">
        <f>IF(Tabela3[[#This Row],[Data Recebimento]]="","",Tabela3[[#This Row],[Data Recebimento]]-Tabela3[[#This Row],[Data Prevista]])</f>
        <v>0</v>
      </c>
      <c r="O110">
        <f>IF(Tabela3[[#This Row],[Data Recebimento]]="","",Tabela3[[#This Row],[Data Recebimento]]-Tabela3[[#This Row],[Data Emissao]])</f>
        <v>7</v>
      </c>
    </row>
    <row r="111" spans="1:15" x14ac:dyDescent="0.25">
      <c r="A111" s="24">
        <v>5005</v>
      </c>
      <c r="B111" s="25" t="s">
        <v>125</v>
      </c>
      <c r="C111" s="24">
        <v>45000185</v>
      </c>
      <c r="D111" s="29">
        <v>46030</v>
      </c>
      <c r="E111" s="24" t="s">
        <v>1681</v>
      </c>
      <c r="F111" s="25" t="s">
        <v>1682</v>
      </c>
      <c r="G111" s="26">
        <v>10</v>
      </c>
      <c r="H111" s="27">
        <v>780</v>
      </c>
      <c r="I111" s="27">
        <f>Tabela3[[#This Row],[Quantidade]]*Tabela3[[#This Row],[Valor Unitario]]</f>
        <v>7800</v>
      </c>
      <c r="J111" s="28">
        <v>46037</v>
      </c>
      <c r="K111" s="28">
        <v>46037</v>
      </c>
      <c r="L111" t="str">
        <f t="shared" ca="1" si="6"/>
        <v>Recebido</v>
      </c>
      <c r="M111" s="20" t="str">
        <f t="shared" si="7"/>
        <v>No Prazo</v>
      </c>
      <c r="N111">
        <f>IF(Tabela3[[#This Row],[Data Recebimento]]="","",Tabela3[[#This Row],[Data Recebimento]]-Tabela3[[#This Row],[Data Prevista]])</f>
        <v>0</v>
      </c>
      <c r="O111">
        <f>IF(Tabela3[[#This Row],[Data Recebimento]]="","",Tabela3[[#This Row],[Data Recebimento]]-Tabela3[[#This Row],[Data Emissao]])</f>
        <v>7</v>
      </c>
    </row>
    <row r="112" spans="1:15" x14ac:dyDescent="0.25">
      <c r="A112" s="20">
        <v>7002</v>
      </c>
      <c r="B112" s="21" t="s">
        <v>143</v>
      </c>
      <c r="C112" s="20">
        <v>45000210</v>
      </c>
      <c r="D112" s="28">
        <v>46032</v>
      </c>
      <c r="E112" s="20" t="s">
        <v>1679</v>
      </c>
      <c r="F112" s="21" t="s">
        <v>1680</v>
      </c>
      <c r="G112" s="22">
        <v>65</v>
      </c>
      <c r="H112" s="23">
        <v>95</v>
      </c>
      <c r="I112" s="23">
        <f>Tabela3[[#This Row],[Quantidade]]*Tabela3[[#This Row],[Valor Unitario]]</f>
        <v>6175</v>
      </c>
      <c r="J112" s="28">
        <v>46039</v>
      </c>
      <c r="K112" s="28"/>
      <c r="L112" t="str">
        <f t="shared" ca="1" si="6"/>
        <v>Atrasado</v>
      </c>
      <c r="M112" s="20" t="str">
        <f t="shared" si="7"/>
        <v/>
      </c>
      <c r="N112" t="str">
        <f>IF(Tabela3[[#This Row],[Data Recebimento]]="","",Tabela3[[#This Row],[Data Recebimento]]-Tabela3[[#This Row],[Data Prevista]])</f>
        <v/>
      </c>
      <c r="O112" t="str">
        <f>IF(Tabela3[[#This Row],[Data Recebimento]]="","",Tabela3[[#This Row],[Data Recebimento]]-Tabela3[[#This Row],[Data Emissao]])</f>
        <v/>
      </c>
    </row>
    <row r="113" spans="1:15" x14ac:dyDescent="0.25">
      <c r="A113" s="20">
        <v>3002</v>
      </c>
      <c r="B113" s="21" t="s">
        <v>105</v>
      </c>
      <c r="C113" s="20">
        <v>45000158</v>
      </c>
      <c r="D113" s="28">
        <v>46151</v>
      </c>
      <c r="E113" s="20" t="s">
        <v>1675</v>
      </c>
      <c r="F113" s="21" t="s">
        <v>176</v>
      </c>
      <c r="G113" s="22">
        <v>50</v>
      </c>
      <c r="H113" s="23">
        <v>95</v>
      </c>
      <c r="I113" s="23">
        <f>Tabela3[[#This Row],[Quantidade]]*Tabela3[[#This Row],[Valor Unitario]]</f>
        <v>4750</v>
      </c>
      <c r="J113" s="28">
        <v>46158</v>
      </c>
      <c r="K113" s="28">
        <v>46158</v>
      </c>
      <c r="L113" t="str">
        <f t="shared" ca="1" si="6"/>
        <v>Recebido</v>
      </c>
      <c r="M113" s="20" t="str">
        <f t="shared" si="7"/>
        <v>No Prazo</v>
      </c>
      <c r="N113">
        <f>IF(Tabela3[[#This Row],[Data Recebimento]]="","",Tabela3[[#This Row],[Data Recebimento]]-Tabela3[[#This Row],[Data Prevista]])</f>
        <v>0</v>
      </c>
      <c r="O113">
        <f>IF(Tabela3[[#This Row],[Data Recebimento]]="","",Tabela3[[#This Row],[Data Recebimento]]-Tabela3[[#This Row],[Data Emissao]])</f>
        <v>7</v>
      </c>
    </row>
    <row r="114" spans="1:15" x14ac:dyDescent="0.25">
      <c r="A114" s="24">
        <v>5007</v>
      </c>
      <c r="B114" s="25" t="s">
        <v>129</v>
      </c>
      <c r="C114" s="24">
        <v>45000191</v>
      </c>
      <c r="D114" s="28">
        <v>46067</v>
      </c>
      <c r="E114" s="24" t="s">
        <v>1676</v>
      </c>
      <c r="F114" s="25" t="s">
        <v>174</v>
      </c>
      <c r="G114" s="26">
        <v>14</v>
      </c>
      <c r="H114" s="27">
        <v>340</v>
      </c>
      <c r="I114" s="27">
        <f>Tabela3[[#This Row],[Quantidade]]*Tabela3[[#This Row],[Valor Unitario]]</f>
        <v>4760</v>
      </c>
      <c r="J114" s="28">
        <v>46074</v>
      </c>
      <c r="K114" s="28">
        <v>46074</v>
      </c>
      <c r="L114" t="str">
        <f t="shared" ca="1" si="6"/>
        <v>Recebido</v>
      </c>
      <c r="M114" s="20" t="str">
        <f t="shared" si="7"/>
        <v>No Prazo</v>
      </c>
      <c r="N114">
        <f>IF(Tabela3[[#This Row],[Data Recebimento]]="","",Tabela3[[#This Row],[Data Recebimento]]-Tabela3[[#This Row],[Data Prevista]])</f>
        <v>0</v>
      </c>
      <c r="O114">
        <f>IF(Tabela3[[#This Row],[Data Recebimento]]="","",Tabela3[[#This Row],[Data Recebimento]]-Tabela3[[#This Row],[Data Emissao]])</f>
        <v>7</v>
      </c>
    </row>
    <row r="115" spans="1:15" x14ac:dyDescent="0.25">
      <c r="A115" s="24">
        <v>7003</v>
      </c>
      <c r="B115" s="25" t="s">
        <v>145</v>
      </c>
      <c r="C115" s="24">
        <v>45000213</v>
      </c>
      <c r="D115" s="29">
        <v>46069</v>
      </c>
      <c r="E115" s="24" t="s">
        <v>1681</v>
      </c>
      <c r="F115" s="25" t="s">
        <v>1682</v>
      </c>
      <c r="G115" s="26">
        <v>36</v>
      </c>
      <c r="H115" s="27">
        <v>130</v>
      </c>
      <c r="I115" s="27">
        <f>Tabela3[[#This Row],[Quantidade]]*Tabela3[[#This Row],[Valor Unitario]]</f>
        <v>4680</v>
      </c>
      <c r="J115" s="28">
        <v>46076</v>
      </c>
      <c r="K115" s="28"/>
      <c r="L115" t="str">
        <f t="shared" ca="1" si="6"/>
        <v>Atrasado</v>
      </c>
      <c r="M115" s="20" t="str">
        <f t="shared" si="7"/>
        <v/>
      </c>
      <c r="N115" t="str">
        <f>IF(Tabela3[[#This Row],[Data Recebimento]]="","",Tabela3[[#This Row],[Data Recebimento]]-Tabela3[[#This Row],[Data Prevista]])</f>
        <v/>
      </c>
      <c r="O115" t="str">
        <f>IF(Tabela3[[#This Row],[Data Recebimento]]="","",Tabela3[[#This Row],[Data Recebimento]]-Tabela3[[#This Row],[Data Emissao]])</f>
        <v/>
      </c>
    </row>
    <row r="116" spans="1:15" x14ac:dyDescent="0.25">
      <c r="A116" s="20">
        <v>6001</v>
      </c>
      <c r="B116" s="21" t="s">
        <v>131</v>
      </c>
      <c r="C116" s="20">
        <v>45000194</v>
      </c>
      <c r="D116" s="28">
        <v>46099</v>
      </c>
      <c r="E116" s="20" t="s">
        <v>1677</v>
      </c>
      <c r="F116" s="21" t="s">
        <v>1678</v>
      </c>
      <c r="G116" s="22">
        <v>19</v>
      </c>
      <c r="H116" s="23">
        <v>15800</v>
      </c>
      <c r="I116" s="23">
        <f>Tabela3[[#This Row],[Quantidade]]*Tabela3[[#This Row],[Valor Unitario]]</f>
        <v>300200</v>
      </c>
      <c r="J116" s="28">
        <v>46106</v>
      </c>
      <c r="K116" s="28">
        <v>46106</v>
      </c>
      <c r="L116" t="str">
        <f t="shared" ca="1" si="6"/>
        <v>Recebido</v>
      </c>
      <c r="M116" s="20" t="str">
        <f t="shared" si="7"/>
        <v>No Prazo</v>
      </c>
      <c r="N116">
        <f>IF(Tabela3[[#This Row],[Data Recebimento]]="","",Tabela3[[#This Row],[Data Recebimento]]-Tabela3[[#This Row],[Data Prevista]])</f>
        <v>0</v>
      </c>
      <c r="O116">
        <f>IF(Tabela3[[#This Row],[Data Recebimento]]="","",Tabela3[[#This Row],[Data Recebimento]]-Tabela3[[#This Row],[Data Emissao]])</f>
        <v>7</v>
      </c>
    </row>
    <row r="117" spans="1:15" x14ac:dyDescent="0.25">
      <c r="A117" s="24">
        <v>6002</v>
      </c>
      <c r="B117" s="25" t="s">
        <v>134</v>
      </c>
      <c r="C117" s="24">
        <v>45000197</v>
      </c>
      <c r="D117" s="29">
        <v>46100</v>
      </c>
      <c r="E117" s="24" t="s">
        <v>1679</v>
      </c>
      <c r="F117" s="25" t="s">
        <v>1680</v>
      </c>
      <c r="G117" s="26">
        <v>35</v>
      </c>
      <c r="H117" s="27">
        <v>6900</v>
      </c>
      <c r="I117" s="27">
        <f>Tabela3[[#This Row],[Quantidade]]*Tabela3[[#This Row],[Valor Unitario]]</f>
        <v>241500</v>
      </c>
      <c r="J117" s="28">
        <v>46107</v>
      </c>
      <c r="K117" s="28">
        <v>46107</v>
      </c>
      <c r="L117" t="str">
        <f t="shared" ca="1" si="6"/>
        <v>Recebido</v>
      </c>
      <c r="M117" s="20" t="str">
        <f t="shared" si="7"/>
        <v>No Prazo</v>
      </c>
      <c r="N117">
        <f>IF(Tabela3[[#This Row],[Data Recebimento]]="","",Tabela3[[#This Row],[Data Recebimento]]-Tabela3[[#This Row],[Data Prevista]])</f>
        <v>0</v>
      </c>
      <c r="O117">
        <f>IF(Tabela3[[#This Row],[Data Recebimento]]="","",Tabela3[[#This Row],[Data Recebimento]]-Tabela3[[#This Row],[Data Emissao]])</f>
        <v>7</v>
      </c>
    </row>
    <row r="118" spans="1:15" x14ac:dyDescent="0.25">
      <c r="A118" s="24">
        <v>5001</v>
      </c>
      <c r="B118" s="25" t="s">
        <v>116</v>
      </c>
      <c r="C118" s="24">
        <v>45000173</v>
      </c>
      <c r="D118" s="29">
        <v>46228</v>
      </c>
      <c r="E118" s="24" t="s">
        <v>1675</v>
      </c>
      <c r="F118" s="25" t="s">
        <v>176</v>
      </c>
      <c r="G118" s="26">
        <v>53</v>
      </c>
      <c r="H118" s="27">
        <v>32500</v>
      </c>
      <c r="I118" s="27">
        <f>Tabela3[[#This Row],[Quantidade]]*Tabela3[[#This Row],[Valor Unitario]]</f>
        <v>1722500</v>
      </c>
      <c r="J118" s="28">
        <v>46229</v>
      </c>
      <c r="K118" s="28">
        <v>46229</v>
      </c>
      <c r="L118" t="str">
        <f t="shared" ca="1" si="6"/>
        <v>Recebido</v>
      </c>
      <c r="M118" s="20" t="str">
        <f t="shared" si="7"/>
        <v>No Prazo</v>
      </c>
      <c r="N118">
        <f>IF(Tabela3[[#This Row],[Data Recebimento]]="","",Tabela3[[#This Row],[Data Recebimento]]-Tabela3[[#This Row],[Data Prevista]])</f>
        <v>0</v>
      </c>
      <c r="O118">
        <f>IF(Tabela3[[#This Row],[Data Recebimento]]="","",Tabela3[[#This Row],[Data Recebimento]]-Tabela3[[#This Row],[Data Emissao]])</f>
        <v>1</v>
      </c>
    </row>
    <row r="119" spans="1:15" x14ac:dyDescent="0.25">
      <c r="A119" s="20">
        <v>6003</v>
      </c>
      <c r="B119" s="21" t="s">
        <v>136</v>
      </c>
      <c r="C119" s="20">
        <v>45000200</v>
      </c>
      <c r="D119" s="29">
        <v>46127</v>
      </c>
      <c r="E119" s="20" t="s">
        <v>1681</v>
      </c>
      <c r="F119" s="21" t="s">
        <v>1682</v>
      </c>
      <c r="G119" s="22">
        <v>47</v>
      </c>
      <c r="H119" s="23">
        <v>85</v>
      </c>
      <c r="I119" s="23">
        <f>Tabela3[[#This Row],[Quantidade]]*Tabela3[[#This Row],[Valor Unitario]]</f>
        <v>3995</v>
      </c>
      <c r="J119" s="28">
        <v>46134</v>
      </c>
      <c r="K119" s="28">
        <v>46134</v>
      </c>
      <c r="L119" t="str">
        <f t="shared" ca="1" si="6"/>
        <v>Recebido</v>
      </c>
      <c r="M119" s="20" t="str">
        <f t="shared" si="7"/>
        <v>No Prazo</v>
      </c>
      <c r="N119">
        <f>IF(Tabela3[[#This Row],[Data Recebimento]]="","",Tabela3[[#This Row],[Data Recebimento]]-Tabela3[[#This Row],[Data Prevista]])</f>
        <v>0</v>
      </c>
      <c r="O119">
        <f>IF(Tabela3[[#This Row],[Data Recebimento]]="","",Tabela3[[#This Row],[Data Recebimento]]-Tabela3[[#This Row],[Data Emissao]])</f>
        <v>7</v>
      </c>
    </row>
    <row r="120" spans="1:15" x14ac:dyDescent="0.25">
      <c r="A120" s="20">
        <v>5006</v>
      </c>
      <c r="B120" s="21" t="s">
        <v>127</v>
      </c>
      <c r="C120" s="20">
        <v>45000188</v>
      </c>
      <c r="D120" s="29">
        <v>46071</v>
      </c>
      <c r="E120" s="20" t="s">
        <v>1675</v>
      </c>
      <c r="F120" s="21" t="s">
        <v>176</v>
      </c>
      <c r="G120" s="22">
        <v>14</v>
      </c>
      <c r="H120" s="23">
        <v>22</v>
      </c>
      <c r="I120" s="23">
        <f>Tabela3[[#This Row],[Quantidade]]*Tabela3[[#This Row],[Valor Unitario]]</f>
        <v>308</v>
      </c>
      <c r="J120" s="28">
        <v>46072</v>
      </c>
      <c r="K120" s="28">
        <v>46072</v>
      </c>
      <c r="L120" t="str">
        <f t="shared" ca="1" si="6"/>
        <v>Recebido</v>
      </c>
      <c r="M120" s="20" t="str">
        <f t="shared" si="7"/>
        <v>No Prazo</v>
      </c>
      <c r="N120">
        <f>IF(Tabela3[[#This Row],[Data Recebimento]]="","",Tabela3[[#This Row],[Data Recebimento]]-Tabela3[[#This Row],[Data Prevista]])</f>
        <v>0</v>
      </c>
      <c r="O120">
        <f>IF(Tabela3[[#This Row],[Data Recebimento]]="","",Tabela3[[#This Row],[Data Recebimento]]-Tabela3[[#This Row],[Data Emissao]])</f>
        <v>1</v>
      </c>
    </row>
    <row r="121" spans="1:15" x14ac:dyDescent="0.25">
      <c r="A121" s="24">
        <v>8002</v>
      </c>
      <c r="B121" s="25" t="s">
        <v>151</v>
      </c>
      <c r="C121" s="24">
        <v>45000219</v>
      </c>
      <c r="D121" s="29">
        <v>46123</v>
      </c>
      <c r="E121" s="24" t="s">
        <v>1676</v>
      </c>
      <c r="F121" s="25" t="s">
        <v>174</v>
      </c>
      <c r="G121" s="26">
        <v>28</v>
      </c>
      <c r="H121" s="27">
        <v>32</v>
      </c>
      <c r="I121" s="27">
        <f>Tabela3[[#This Row],[Quantidade]]*Tabela3[[#This Row],[Valor Unitario]]</f>
        <v>896</v>
      </c>
      <c r="J121" s="28">
        <v>46130</v>
      </c>
      <c r="K121" s="28"/>
      <c r="L121" t="str">
        <f t="shared" ca="1" si="6"/>
        <v>Atrasado</v>
      </c>
      <c r="M121" s="20" t="str">
        <f t="shared" si="7"/>
        <v/>
      </c>
      <c r="N121" t="str">
        <f>IF(Tabela3[[#This Row],[Data Recebimento]]="","",Tabela3[[#This Row],[Data Recebimento]]-Tabela3[[#This Row],[Data Prevista]])</f>
        <v/>
      </c>
      <c r="O121" t="str">
        <f>IF(Tabela3[[#This Row],[Data Recebimento]]="","",Tabela3[[#This Row],[Data Recebimento]]-Tabela3[[#This Row],[Data Emissao]])</f>
        <v/>
      </c>
    </row>
    <row r="122" spans="1:15" x14ac:dyDescent="0.25">
      <c r="A122" s="20">
        <v>7001</v>
      </c>
      <c r="B122" s="21" t="s">
        <v>140</v>
      </c>
      <c r="C122" s="20">
        <v>45000206</v>
      </c>
      <c r="D122" s="28">
        <v>46151</v>
      </c>
      <c r="E122" s="20" t="s">
        <v>1676</v>
      </c>
      <c r="F122" s="21" t="s">
        <v>174</v>
      </c>
      <c r="G122" s="22">
        <v>12</v>
      </c>
      <c r="H122" s="23">
        <v>210</v>
      </c>
      <c r="I122" s="23">
        <f>Tabela3[[#This Row],[Quantidade]]*Tabela3[[#This Row],[Valor Unitario]]</f>
        <v>2520</v>
      </c>
      <c r="J122" s="28">
        <v>46158</v>
      </c>
      <c r="K122" s="28">
        <v>46158</v>
      </c>
      <c r="L122" t="str">
        <f t="shared" ca="1" si="6"/>
        <v>Recebido</v>
      </c>
      <c r="M122" s="20" t="str">
        <f t="shared" si="7"/>
        <v>No Prazo</v>
      </c>
      <c r="N122">
        <f>IF(Tabela3[[#This Row],[Data Recebimento]]="","",Tabela3[[#This Row],[Data Recebimento]]-Tabela3[[#This Row],[Data Prevista]])</f>
        <v>0</v>
      </c>
      <c r="O122">
        <f>IF(Tabela3[[#This Row],[Data Recebimento]]="","",Tabela3[[#This Row],[Data Recebimento]]-Tabela3[[#This Row],[Data Emissao]])</f>
        <v>7</v>
      </c>
    </row>
    <row r="123" spans="1:15" x14ac:dyDescent="0.25">
      <c r="A123" s="24">
        <v>7002</v>
      </c>
      <c r="B123" s="25" t="s">
        <v>143</v>
      </c>
      <c r="C123" s="24">
        <v>45000209</v>
      </c>
      <c r="D123" s="29">
        <v>46149</v>
      </c>
      <c r="E123" s="24" t="s">
        <v>1677</v>
      </c>
      <c r="F123" s="25" t="s">
        <v>1678</v>
      </c>
      <c r="G123" s="26">
        <v>27</v>
      </c>
      <c r="H123" s="27">
        <v>95</v>
      </c>
      <c r="I123" s="27">
        <f>Tabela3[[#This Row],[Quantidade]]*Tabela3[[#This Row],[Valor Unitario]]</f>
        <v>2565</v>
      </c>
      <c r="J123" s="28">
        <v>46156</v>
      </c>
      <c r="K123" s="28">
        <v>46156</v>
      </c>
      <c r="L123" t="str">
        <f t="shared" ca="1" si="6"/>
        <v>Recebido</v>
      </c>
      <c r="M123" s="20" t="str">
        <f t="shared" si="7"/>
        <v>No Prazo</v>
      </c>
      <c r="N123">
        <f>IF(Tabela3[[#This Row],[Data Recebimento]]="","",Tabela3[[#This Row],[Data Recebimento]]-Tabela3[[#This Row],[Data Prevista]])</f>
        <v>0</v>
      </c>
      <c r="O123">
        <f>IF(Tabela3[[#This Row],[Data Recebimento]]="","",Tabela3[[#This Row],[Data Recebimento]]-Tabela3[[#This Row],[Data Emissao]])</f>
        <v>7</v>
      </c>
    </row>
    <row r="124" spans="1:15" x14ac:dyDescent="0.25">
      <c r="A124" s="20">
        <v>9001</v>
      </c>
      <c r="B124" s="21" t="s">
        <v>154</v>
      </c>
      <c r="C124" s="20">
        <v>45000222</v>
      </c>
      <c r="D124" s="28">
        <v>46147</v>
      </c>
      <c r="E124" s="20" t="s">
        <v>1677</v>
      </c>
      <c r="F124" s="21" t="s">
        <v>1678</v>
      </c>
      <c r="G124" s="22">
        <v>38</v>
      </c>
      <c r="H124" s="23">
        <v>18</v>
      </c>
      <c r="I124" s="23">
        <f>Tabela3[[#This Row],[Quantidade]]*Tabela3[[#This Row],[Valor Unitario]]</f>
        <v>684</v>
      </c>
      <c r="J124" s="28">
        <v>46154</v>
      </c>
      <c r="K124" s="28"/>
      <c r="L124" t="str">
        <f t="shared" ca="1" si="6"/>
        <v>Atrasado</v>
      </c>
      <c r="M124" s="20" t="str">
        <f t="shared" si="7"/>
        <v/>
      </c>
      <c r="N124" t="str">
        <f>IF(Tabela3[[#This Row],[Data Recebimento]]="","",Tabela3[[#This Row],[Data Recebimento]]-Tabela3[[#This Row],[Data Prevista]])</f>
        <v/>
      </c>
      <c r="O124" t="str">
        <f>IF(Tabela3[[#This Row],[Data Recebimento]]="","",Tabela3[[#This Row],[Data Recebimento]]-Tabela3[[#This Row],[Data Emissao]])</f>
        <v/>
      </c>
    </row>
    <row r="125" spans="1:15" x14ac:dyDescent="0.25">
      <c r="A125" s="20">
        <v>7003</v>
      </c>
      <c r="B125" s="21" t="s">
        <v>145</v>
      </c>
      <c r="C125" s="20">
        <v>45000212</v>
      </c>
      <c r="D125" s="29">
        <v>46176</v>
      </c>
      <c r="E125" s="20" t="s">
        <v>1679</v>
      </c>
      <c r="F125" s="21" t="s">
        <v>1680</v>
      </c>
      <c r="G125" s="22">
        <v>45</v>
      </c>
      <c r="H125" s="23">
        <v>130</v>
      </c>
      <c r="I125" s="23">
        <f>Tabela3[[#This Row],[Quantidade]]*Tabela3[[#This Row],[Valor Unitario]]</f>
        <v>5850</v>
      </c>
      <c r="J125" s="28">
        <v>46183</v>
      </c>
      <c r="K125" s="28">
        <v>46183</v>
      </c>
      <c r="L125" t="str">
        <f t="shared" ca="1" si="6"/>
        <v>Recebido</v>
      </c>
      <c r="M125" s="20" t="str">
        <f t="shared" si="7"/>
        <v>No Prazo</v>
      </c>
      <c r="N125">
        <f>IF(Tabela3[[#This Row],[Data Recebimento]]="","",Tabela3[[#This Row],[Data Recebimento]]-Tabela3[[#This Row],[Data Prevista]])</f>
        <v>0</v>
      </c>
      <c r="O125">
        <f>IF(Tabela3[[#This Row],[Data Recebimento]]="","",Tabela3[[#This Row],[Data Recebimento]]-Tabela3[[#This Row],[Data Emissao]])</f>
        <v>7</v>
      </c>
    </row>
    <row r="126" spans="1:15" x14ac:dyDescent="0.25">
      <c r="A126" s="24">
        <v>8001</v>
      </c>
      <c r="B126" s="25" t="s">
        <v>147</v>
      </c>
      <c r="C126" s="24">
        <v>45000215</v>
      </c>
      <c r="D126" s="28">
        <v>46174</v>
      </c>
      <c r="E126" s="24" t="s">
        <v>1681</v>
      </c>
      <c r="F126" s="25" t="s">
        <v>1682</v>
      </c>
      <c r="G126" s="26">
        <v>32</v>
      </c>
      <c r="H126" s="27">
        <v>28</v>
      </c>
      <c r="I126" s="27">
        <f>Tabela3[[#This Row],[Quantidade]]*Tabela3[[#This Row],[Valor Unitario]]</f>
        <v>896</v>
      </c>
      <c r="J126" s="28">
        <v>46181</v>
      </c>
      <c r="K126" s="28">
        <v>46181</v>
      </c>
      <c r="L126" t="str">
        <f t="shared" ca="1" si="6"/>
        <v>Recebido</v>
      </c>
      <c r="M126" s="20" t="str">
        <f t="shared" si="7"/>
        <v>No Prazo</v>
      </c>
      <c r="N126">
        <f>IF(Tabela3[[#This Row],[Data Recebimento]]="","",Tabela3[[#This Row],[Data Recebimento]]-Tabela3[[#This Row],[Data Prevista]])</f>
        <v>0</v>
      </c>
      <c r="O126">
        <f>IF(Tabela3[[#This Row],[Data Recebimento]]="","",Tabela3[[#This Row],[Data Recebimento]]-Tabela3[[#This Row],[Data Emissao]])</f>
        <v>7</v>
      </c>
    </row>
    <row r="127" spans="1:15" x14ac:dyDescent="0.25">
      <c r="A127" s="24">
        <v>9002</v>
      </c>
      <c r="B127" s="25" t="s">
        <v>157</v>
      </c>
      <c r="C127" s="24">
        <v>45000225</v>
      </c>
      <c r="D127" s="29">
        <v>46183</v>
      </c>
      <c r="E127" s="24" t="s">
        <v>1679</v>
      </c>
      <c r="F127" s="25" t="s">
        <v>1680</v>
      </c>
      <c r="G127" s="26">
        <v>93</v>
      </c>
      <c r="H127" s="27">
        <v>6.5</v>
      </c>
      <c r="I127" s="27">
        <f>Tabela3[[#This Row],[Quantidade]]*Tabela3[[#This Row],[Valor Unitario]]</f>
        <v>604.5</v>
      </c>
      <c r="J127" s="28">
        <v>46190</v>
      </c>
      <c r="K127" s="28"/>
      <c r="L127" t="str">
        <f t="shared" ca="1" si="6"/>
        <v>Atrasado</v>
      </c>
      <c r="M127" s="20" t="str">
        <f t="shared" si="7"/>
        <v/>
      </c>
      <c r="N127" t="str">
        <f>IF(Tabela3[[#This Row],[Data Recebimento]]="","",Tabela3[[#This Row],[Data Recebimento]]-Tabela3[[#This Row],[Data Prevista]])</f>
        <v/>
      </c>
      <c r="O127" t="str">
        <f>IF(Tabela3[[#This Row],[Data Recebimento]]="","",Tabela3[[#This Row],[Data Recebimento]]-Tabela3[[#This Row],[Data Emissao]])</f>
        <v/>
      </c>
    </row>
    <row r="128" spans="1:15" x14ac:dyDescent="0.25">
      <c r="A128" s="24">
        <v>6004</v>
      </c>
      <c r="B128" s="25" t="s">
        <v>138</v>
      </c>
      <c r="C128" s="24">
        <v>45000203</v>
      </c>
      <c r="D128" s="28">
        <v>46125</v>
      </c>
      <c r="E128" s="24" t="s">
        <v>1675</v>
      </c>
      <c r="F128" s="25" t="s">
        <v>176</v>
      </c>
      <c r="G128" s="26">
        <v>53</v>
      </c>
      <c r="H128" s="27">
        <v>2650</v>
      </c>
      <c r="I128" s="27">
        <f>Tabela3[[#This Row],[Quantidade]]*Tabela3[[#This Row],[Valor Unitario]]</f>
        <v>140450</v>
      </c>
      <c r="J128" s="28">
        <v>46132</v>
      </c>
      <c r="K128" s="28">
        <v>46132</v>
      </c>
      <c r="L128" t="str">
        <f t="shared" ca="1" si="6"/>
        <v>Recebido</v>
      </c>
      <c r="M128" s="20" t="str">
        <f t="shared" si="7"/>
        <v>No Prazo</v>
      </c>
      <c r="N128">
        <f>IF(Tabela3[[#This Row],[Data Recebimento]]="","",Tabela3[[#This Row],[Data Recebimento]]-Tabela3[[#This Row],[Data Prevista]])</f>
        <v>0</v>
      </c>
      <c r="O128">
        <f>IF(Tabela3[[#This Row],[Data Recebimento]]="","",Tabela3[[#This Row],[Data Recebimento]]-Tabela3[[#This Row],[Data Emissao]])</f>
        <v>7</v>
      </c>
    </row>
    <row r="129" spans="1:15" x14ac:dyDescent="0.25">
      <c r="A129" s="24">
        <v>9001</v>
      </c>
      <c r="B129" s="25" t="s">
        <v>154</v>
      </c>
      <c r="C129" s="24">
        <v>45000221</v>
      </c>
      <c r="D129" s="29">
        <v>46222</v>
      </c>
      <c r="E129" s="24" t="s">
        <v>1676</v>
      </c>
      <c r="F129" s="25" t="s">
        <v>174</v>
      </c>
      <c r="G129" s="26">
        <v>22</v>
      </c>
      <c r="H129" s="27">
        <v>18</v>
      </c>
      <c r="I129" s="27">
        <f>Tabela3[[#This Row],[Quantidade]]*Tabela3[[#This Row],[Valor Unitario]]</f>
        <v>396</v>
      </c>
      <c r="J129" s="28">
        <v>46229</v>
      </c>
      <c r="K129" s="28">
        <v>46229</v>
      </c>
      <c r="L129" t="str">
        <f t="shared" ca="1" si="6"/>
        <v>Recebido</v>
      </c>
      <c r="M129" s="20" t="str">
        <f t="shared" si="7"/>
        <v>No Prazo</v>
      </c>
      <c r="N129">
        <f>IF(Tabela3[[#This Row],[Data Recebimento]]="","",Tabela3[[#This Row],[Data Recebimento]]-Tabela3[[#This Row],[Data Prevista]])</f>
        <v>0</v>
      </c>
      <c r="O129">
        <f>IF(Tabela3[[#This Row],[Data Recebimento]]="","",Tabela3[[#This Row],[Data Recebimento]]-Tabela3[[#This Row],[Data Emissao]])</f>
        <v>7</v>
      </c>
    </row>
    <row r="130" spans="1:15" x14ac:dyDescent="0.25">
      <c r="A130" s="20">
        <v>9003</v>
      </c>
      <c r="B130" s="21" t="s">
        <v>159</v>
      </c>
      <c r="C130" s="20">
        <v>45000228</v>
      </c>
      <c r="D130" s="29">
        <v>46218</v>
      </c>
      <c r="E130" s="20" t="s">
        <v>1681</v>
      </c>
      <c r="F130" s="21" t="s">
        <v>1682</v>
      </c>
      <c r="G130" s="22">
        <v>86</v>
      </c>
      <c r="H130" s="23">
        <v>2.2000000000000002</v>
      </c>
      <c r="I130" s="23">
        <f>Tabela3[[#This Row],[Quantidade]]*Tabela3[[#This Row],[Valor Unitario]]</f>
        <v>189.20000000000002</v>
      </c>
      <c r="J130" s="28">
        <v>46225</v>
      </c>
      <c r="K130" s="28"/>
      <c r="L130" t="str">
        <f t="shared" ref="L130:L161" ca="1" si="8">IF(K130&lt;&gt;"","Recebido",IF(TODAY()&gt;J130,"Atrasado","Em Transito"))</f>
        <v>Atrasado</v>
      </c>
      <c r="M130" s="20" t="str">
        <f t="shared" ref="M130:M137" si="9">IF(K130="","",IF(K130&lt;=J130,"No Prazo","Atrasado"))</f>
        <v/>
      </c>
      <c r="N130" t="str">
        <f>IF(Tabela3[[#This Row],[Data Recebimento]]="","",Tabela3[[#This Row],[Data Recebimento]]-Tabela3[[#This Row],[Data Prevista]])</f>
        <v/>
      </c>
      <c r="O130" t="str">
        <f>IF(Tabela3[[#This Row],[Data Recebimento]]="","",Tabela3[[#This Row],[Data Recebimento]]-Tabela3[[#This Row],[Data Emissao]])</f>
        <v/>
      </c>
    </row>
    <row r="131" spans="1:15" x14ac:dyDescent="0.25">
      <c r="A131" s="20">
        <v>9002</v>
      </c>
      <c r="B131" s="21" t="s">
        <v>157</v>
      </c>
      <c r="C131" s="20">
        <v>45000224</v>
      </c>
      <c r="D131" s="28">
        <v>46247</v>
      </c>
      <c r="E131" s="20" t="s">
        <v>1677</v>
      </c>
      <c r="F131" s="21" t="s">
        <v>1678</v>
      </c>
      <c r="G131" s="22">
        <v>10</v>
      </c>
      <c r="H131" s="23">
        <v>6.5</v>
      </c>
      <c r="I131" s="23">
        <f>Tabela3[[#This Row],[Quantidade]]*Tabela3[[#This Row],[Valor Unitario]]</f>
        <v>65</v>
      </c>
      <c r="J131" s="28">
        <v>46254</v>
      </c>
      <c r="K131" s="28">
        <v>46254</v>
      </c>
      <c r="L131" t="str">
        <f t="shared" ca="1" si="8"/>
        <v>Recebido</v>
      </c>
      <c r="M131" s="20" t="str">
        <f t="shared" si="9"/>
        <v>No Prazo</v>
      </c>
      <c r="N131">
        <f>IF(Tabela3[[#This Row],[Data Recebimento]]="","",Tabela3[[#This Row],[Data Recebimento]]-Tabela3[[#This Row],[Data Prevista]])</f>
        <v>0</v>
      </c>
      <c r="O131">
        <f>IF(Tabela3[[#This Row],[Data Recebimento]]="","",Tabela3[[#This Row],[Data Recebimento]]-Tabela3[[#This Row],[Data Emissao]])</f>
        <v>7</v>
      </c>
    </row>
    <row r="132" spans="1:15" x14ac:dyDescent="0.25">
      <c r="A132" s="24">
        <v>9003</v>
      </c>
      <c r="B132" s="25" t="s">
        <v>159</v>
      </c>
      <c r="C132" s="24">
        <v>45000227</v>
      </c>
      <c r="D132" s="28">
        <v>46243</v>
      </c>
      <c r="E132" s="24" t="s">
        <v>1679</v>
      </c>
      <c r="F132" s="25" t="s">
        <v>1680</v>
      </c>
      <c r="G132" s="26">
        <v>38</v>
      </c>
      <c r="H132" s="27">
        <v>2.2000000000000002</v>
      </c>
      <c r="I132" s="27">
        <f>Tabela3[[#This Row],[Quantidade]]*Tabela3[[#This Row],[Valor Unitario]]</f>
        <v>83.600000000000009</v>
      </c>
      <c r="J132" s="28">
        <v>46250</v>
      </c>
      <c r="K132" s="28">
        <v>46250</v>
      </c>
      <c r="L132" t="str">
        <f t="shared" ca="1" si="8"/>
        <v>Recebido</v>
      </c>
      <c r="M132" s="20" t="str">
        <f t="shared" si="9"/>
        <v>No Prazo</v>
      </c>
      <c r="N132">
        <f>IF(Tabela3[[#This Row],[Data Recebimento]]="","",Tabela3[[#This Row],[Data Recebimento]]-Tabela3[[#This Row],[Data Prevista]])</f>
        <v>0</v>
      </c>
      <c r="O132">
        <f>IF(Tabela3[[#This Row],[Data Recebimento]]="","",Tabela3[[#This Row],[Data Recebimento]]-Tabela3[[#This Row],[Data Emissao]])</f>
        <v>7</v>
      </c>
    </row>
    <row r="133" spans="1:15" x14ac:dyDescent="0.25">
      <c r="A133" s="20">
        <v>8002</v>
      </c>
      <c r="B133" s="21" t="s">
        <v>151</v>
      </c>
      <c r="C133" s="20">
        <v>45000218</v>
      </c>
      <c r="D133" s="28">
        <v>46221</v>
      </c>
      <c r="E133" s="20" t="s">
        <v>1675</v>
      </c>
      <c r="F133" s="21" t="s">
        <v>176</v>
      </c>
      <c r="G133" s="22">
        <v>20</v>
      </c>
      <c r="H133" s="23">
        <v>32</v>
      </c>
      <c r="I133" s="23">
        <f>Tabela3[[#This Row],[Quantidade]]*Tabela3[[#This Row],[Valor Unitario]]</f>
        <v>640</v>
      </c>
      <c r="J133" s="28">
        <v>46228</v>
      </c>
      <c r="K133" s="28">
        <v>46228</v>
      </c>
      <c r="L133" t="str">
        <f t="shared" ca="1" si="8"/>
        <v>Recebido</v>
      </c>
      <c r="M133" s="20" t="str">
        <f t="shared" si="9"/>
        <v>No Prazo</v>
      </c>
      <c r="N133">
        <f>IF(Tabela3[[#This Row],[Data Recebimento]]="","",Tabela3[[#This Row],[Data Recebimento]]-Tabela3[[#This Row],[Data Prevista]])</f>
        <v>0</v>
      </c>
      <c r="O133">
        <f>IF(Tabela3[[#This Row],[Data Recebimento]]="","",Tabela3[[#This Row],[Data Recebimento]]-Tabela3[[#This Row],[Data Emissao]])</f>
        <v>7</v>
      </c>
    </row>
    <row r="134" spans="1:15" x14ac:dyDescent="0.25">
      <c r="A134" s="20">
        <v>9004</v>
      </c>
      <c r="B134" s="21" t="s">
        <v>161</v>
      </c>
      <c r="C134" s="20">
        <v>45000230</v>
      </c>
      <c r="D134" s="28">
        <v>46154</v>
      </c>
      <c r="E134" s="20" t="s">
        <v>1681</v>
      </c>
      <c r="F134" s="21" t="s">
        <v>1682</v>
      </c>
      <c r="G134" s="22">
        <v>15</v>
      </c>
      <c r="H134" s="23">
        <v>45</v>
      </c>
      <c r="I134" s="23">
        <f>Tabela3[[#This Row],[Quantidade]]*Tabela3[[#This Row],[Valor Unitario]]</f>
        <v>675</v>
      </c>
      <c r="J134" s="28">
        <v>46161</v>
      </c>
      <c r="K134" s="28">
        <v>46161</v>
      </c>
      <c r="L134" t="str">
        <f t="shared" ca="1" si="8"/>
        <v>Recebido</v>
      </c>
      <c r="M134" s="20" t="str">
        <f t="shared" si="9"/>
        <v>No Prazo</v>
      </c>
      <c r="N134">
        <f>IF(Tabela3[[#This Row],[Data Recebimento]]="","",Tabela3[[#This Row],[Data Recebimento]]-Tabela3[[#This Row],[Data Prevista]])</f>
        <v>0</v>
      </c>
      <c r="O134">
        <f>IF(Tabela3[[#This Row],[Data Recebimento]]="","",Tabela3[[#This Row],[Data Recebimento]]-Tabela3[[#This Row],[Data Emissao]])</f>
        <v>7</v>
      </c>
    </row>
    <row r="135" spans="1:15" x14ac:dyDescent="0.25">
      <c r="A135" s="24">
        <v>9005</v>
      </c>
      <c r="B135" s="25" t="s">
        <v>163</v>
      </c>
      <c r="C135" s="24">
        <v>45000233</v>
      </c>
      <c r="D135" s="29">
        <v>46160</v>
      </c>
      <c r="E135" s="24" t="s">
        <v>1675</v>
      </c>
      <c r="F135" s="25" t="s">
        <v>176</v>
      </c>
      <c r="G135" s="26">
        <v>13</v>
      </c>
      <c r="H135" s="27">
        <v>8.9</v>
      </c>
      <c r="I135" s="27">
        <f>Tabela3[[#This Row],[Quantidade]]*Tabela3[[#This Row],[Valor Unitario]]</f>
        <v>115.7</v>
      </c>
      <c r="J135" s="28">
        <v>46161</v>
      </c>
      <c r="K135" s="28">
        <v>46161</v>
      </c>
      <c r="L135" t="str">
        <f t="shared" ca="1" si="8"/>
        <v>Recebido</v>
      </c>
      <c r="M135" s="20" t="str">
        <f t="shared" si="9"/>
        <v>No Prazo</v>
      </c>
      <c r="N135">
        <f>IF(Tabela3[[#This Row],[Data Recebimento]]="","",Tabela3[[#This Row],[Data Recebimento]]-Tabela3[[#This Row],[Data Prevista]])</f>
        <v>0</v>
      </c>
      <c r="O135">
        <f>IF(Tabela3[[#This Row],[Data Recebimento]]="","",Tabela3[[#This Row],[Data Recebimento]]-Tabela3[[#This Row],[Data Emissao]])</f>
        <v>1</v>
      </c>
    </row>
    <row r="136" spans="1:15" x14ac:dyDescent="0.25">
      <c r="A136" s="20">
        <v>9005</v>
      </c>
      <c r="B136" s="21" t="s">
        <v>163</v>
      </c>
      <c r="C136" s="20">
        <v>45000234</v>
      </c>
      <c r="D136" s="28">
        <v>46239</v>
      </c>
      <c r="E136" s="20" t="s">
        <v>1676</v>
      </c>
      <c r="F136" s="21" t="s">
        <v>174</v>
      </c>
      <c r="G136" s="22">
        <v>98</v>
      </c>
      <c r="H136" s="23">
        <v>8.9</v>
      </c>
      <c r="I136" s="23">
        <f>Tabela3[[#This Row],[Quantidade]]*Tabela3[[#This Row],[Valor Unitario]]</f>
        <v>872.2</v>
      </c>
      <c r="J136" s="28">
        <v>46277</v>
      </c>
      <c r="K136" s="28"/>
      <c r="L136" t="str">
        <f t="shared" ca="1" si="8"/>
        <v>Em Transito</v>
      </c>
      <c r="M136" s="20" t="str">
        <f t="shared" si="9"/>
        <v/>
      </c>
      <c r="N136" t="str">
        <f>IF(Tabela3[[#This Row],[Data Recebimento]]="","",Tabela3[[#This Row],[Data Recebimento]]-Tabela3[[#This Row],[Data Prevista]])</f>
        <v/>
      </c>
      <c r="O136" t="str">
        <f>IF(Tabela3[[#This Row],[Data Recebimento]]="","",Tabela3[[#This Row],[Data Recebimento]]-Tabela3[[#This Row],[Data Emissao]])</f>
        <v/>
      </c>
    </row>
    <row r="137" spans="1:15" x14ac:dyDescent="0.25">
      <c r="A137" s="36">
        <v>9004</v>
      </c>
      <c r="B137" s="21" t="s">
        <v>161</v>
      </c>
      <c r="C137" s="20">
        <v>45000234</v>
      </c>
      <c r="D137" s="28">
        <v>46239</v>
      </c>
      <c r="E137" s="20" t="s">
        <v>1676</v>
      </c>
      <c r="F137" s="21" t="s">
        <v>1682</v>
      </c>
      <c r="G137" s="22">
        <v>15</v>
      </c>
      <c r="H137" s="23">
        <v>45</v>
      </c>
      <c r="I137" s="38">
        <f>Tabela3[[#This Row],[Quantidade]]*Tabela3[[#This Row],[Valor Unitario]]</f>
        <v>675</v>
      </c>
      <c r="J137" s="28">
        <v>46277</v>
      </c>
      <c r="K137" s="37"/>
      <c r="L137" t="str">
        <f t="shared" ca="1" si="8"/>
        <v>Em Transito</v>
      </c>
      <c r="M137" s="20" t="str">
        <f t="shared" si="9"/>
        <v/>
      </c>
      <c r="N137" t="str">
        <f>IF(Tabela3[[#This Row],[Data Recebimento]]="","",Tabela3[[#This Row],[Data Recebimento]]-Tabela3[[#This Row],[Data Prevista]])</f>
        <v/>
      </c>
      <c r="O137" t="str">
        <f>IF(Tabela3[[#This Row],[Data Recebimento]]="","",Tabela3[[#This Row],[Data Recebimento]]-Tabela3[[#This Row],[Data Emissao]])</f>
        <v/>
      </c>
    </row>
  </sheetData>
  <conditionalFormatting sqref="L2:L137">
    <cfRule type="expression" dxfId="3" priority="1">
      <formula>L2="Atrasado"</formula>
    </cfRule>
    <cfRule type="expression" dxfId="2" priority="2">
      <formula>L2="Em Transito"</formula>
    </cfRule>
    <cfRule type="expression" dxfId="1" priority="3">
      <formula>L2="Recebido"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showGridLines="0" zoomScaleNormal="100" workbookViewId="0">
      <selection activeCell="B17" sqref="B17"/>
    </sheetView>
  </sheetViews>
  <sheetFormatPr defaultColWidth="8.7109375" defaultRowHeight="15" x14ac:dyDescent="0.25"/>
  <cols>
    <col min="1" max="1" width="26" customWidth="1"/>
    <col min="2" max="2" width="18" customWidth="1"/>
    <col min="3" max="3" width="16" customWidth="1"/>
    <col min="6" max="6" width="21.85546875" bestFit="1" customWidth="1"/>
    <col min="7" max="7" width="23.140625" bestFit="1" customWidth="1"/>
    <col min="9" max="9" width="21.85546875" bestFit="1" customWidth="1"/>
    <col min="10" max="10" width="23.140625" bestFit="1" customWidth="1"/>
  </cols>
  <sheetData>
    <row r="1" spans="1:7" ht="15" customHeight="1" x14ac:dyDescent="0.25">
      <c r="A1" s="105" t="s">
        <v>194</v>
      </c>
      <c r="B1" s="105"/>
      <c r="C1" s="105"/>
      <c r="D1" s="10"/>
      <c r="E1" s="10"/>
      <c r="F1" s="10"/>
      <c r="G1" s="10"/>
    </row>
    <row r="2" spans="1:7" ht="15" customHeight="1" x14ac:dyDescent="0.25">
      <c r="A2" s="11" t="s">
        <v>40</v>
      </c>
      <c r="B2" s="11" t="s">
        <v>195</v>
      </c>
      <c r="C2" s="10"/>
      <c r="D2" s="10"/>
      <c r="E2" s="10"/>
      <c r="F2" s="10"/>
      <c r="G2" s="10"/>
    </row>
    <row r="3" spans="1:7" ht="15" customHeight="1" x14ac:dyDescent="0.25">
      <c r="A3" s="10" t="str">
        <f t="array" ref="A3">IFERROR(INDEX(Materiais!$C$2:$C$10000,MATCH(0,COUNTIF($A$2:A2,Materiais!$C$2:$C$10000),0)),"")</f>
        <v>Rolamentos</v>
      </c>
      <c r="B3" s="12">
        <f>SUMIF(Materiais!$C:$C,A3,Materiais!$O:$O)</f>
        <v>152164</v>
      </c>
      <c r="C3" s="10"/>
      <c r="D3" s="10"/>
      <c r="E3" s="10"/>
      <c r="F3" s="10"/>
      <c r="G3" s="10"/>
    </row>
    <row r="4" spans="1:7" ht="15" customHeight="1" x14ac:dyDescent="0.25">
      <c r="A4" s="10" t="str">
        <f t="array" ref="A4">IFERROR(INDEX(Materiais!$C$2:$C$10000,MATCH(0,COUNTIF($A$2:A3,Materiais!$C$2:$C$10000),0)),"")</f>
        <v>Estrutural</v>
      </c>
      <c r="B4" s="12">
        <f>SUMIF(Materiais!$C:$C,A4,Materiais!$O:$O)</f>
        <v>11180450</v>
      </c>
      <c r="C4" s="10"/>
      <c r="D4" s="10"/>
      <c r="E4" s="10"/>
      <c r="F4" s="10"/>
      <c r="G4" s="10"/>
    </row>
    <row r="5" spans="1:7" ht="15" customHeight="1" x14ac:dyDescent="0.25">
      <c r="A5" s="10" t="str">
        <f t="array" ref="A5">IFERROR(INDEX(Materiais!$C$2:$C$10000,MATCH(0,COUNTIF($A$2:A4,Materiais!$C$2:$C$10000),0)),"")</f>
        <v>Eletrico</v>
      </c>
      <c r="B5" s="12">
        <f>SUMIF(Materiais!$C:$C,A5,Materiais!$O:$O)</f>
        <v>4076148</v>
      </c>
      <c r="C5" s="10"/>
      <c r="D5" s="10"/>
      <c r="E5" s="10"/>
      <c r="F5" s="10"/>
      <c r="G5" s="10"/>
    </row>
    <row r="6" spans="1:7" ht="15" customHeight="1" x14ac:dyDescent="0.25">
      <c r="A6" s="10" t="str">
        <f t="array" ref="A6">IFERROR(INDEX(Materiais!$C$2:$C$10000,MATCH(0,COUNTIF($A$2:A5,Materiais!$C$2:$C$10000),0)),"")</f>
        <v>Correias e Polias</v>
      </c>
      <c r="B6" s="12">
        <f>SUMIF(Materiais!$C:$C,A6,Materiais!$O:$O)</f>
        <v>640230</v>
      </c>
      <c r="C6" s="10"/>
      <c r="D6" s="10"/>
      <c r="E6" s="10"/>
      <c r="F6" s="10"/>
      <c r="G6" s="10"/>
    </row>
    <row r="7" spans="1:7" ht="15" customHeight="1" x14ac:dyDescent="0.25">
      <c r="A7" s="10" t="str">
        <f t="array" ref="A7">IFERROR(INDEX(Materiais!$C$2:$C$10000,MATCH(0,COUNTIF($A$2:A6,Materiais!$C$2:$C$10000),0)),"")</f>
        <v>Fixacao</v>
      </c>
      <c r="B7" s="12">
        <f>SUMIF(Materiais!$C:$C,A7,Materiais!$O:$O)</f>
        <v>4367.8999999999996</v>
      </c>
      <c r="C7" s="10"/>
      <c r="D7" s="10"/>
      <c r="E7" s="10"/>
      <c r="F7" s="10"/>
      <c r="G7" s="10"/>
    </row>
    <row r="8" spans="1:7" ht="15" customHeight="1" x14ac:dyDescent="0.25">
      <c r="A8" s="10" t="str">
        <f t="array" ref="A8">IFERROR(INDEX(Materiais!$C$2:$C$10000,MATCH(0,COUNTIF($A$2:A7,Materiais!$C$2:$C$10000),0)),"")</f>
        <v>Hidraulico</v>
      </c>
      <c r="B8" s="12">
        <f>SUMIF(Materiais!$C:$C,A8,Materiais!$O:$O)</f>
        <v>1367600</v>
      </c>
      <c r="C8" s="10"/>
      <c r="D8" s="10"/>
      <c r="E8" s="10"/>
      <c r="F8" s="10"/>
      <c r="G8" s="10"/>
    </row>
    <row r="9" spans="1:7" ht="15" customHeight="1" x14ac:dyDescent="0.25">
      <c r="A9" s="10" t="str">
        <f t="array" ref="A9">IFERROR(INDEX(Materiais!$C$2:$C$10000,MATCH(0,COUNTIF($A$2:A8,Materiais!$C$2:$C$10000),0)),"")</f>
        <v>Lubrificacao</v>
      </c>
      <c r="B9" s="12">
        <f>SUMIF(Materiais!$C:$C,A9,Materiais!$O:$O)</f>
        <v>2372</v>
      </c>
      <c r="C9" s="10"/>
      <c r="D9" s="10"/>
      <c r="E9" s="10"/>
      <c r="F9" s="10"/>
      <c r="G9" s="10"/>
    </row>
    <row r="10" spans="1:7" ht="15" customHeight="1" x14ac:dyDescent="0.25">
      <c r="A10" s="10" t="str">
        <f t="array" ref="A10">IFERROR(INDEX(Materiais!$C$2:$C$10000,MATCH(0,COUNTIF($A$2:A9,Materiais!$C$2:$C$10000),0)),"")</f>
        <v>Revestimentos</v>
      </c>
      <c r="B10" s="12">
        <f>SUMIF(Materiais!$C:$C,A10,Materiais!$O:$O)</f>
        <v>2387240</v>
      </c>
      <c r="C10" s="10"/>
      <c r="D10" s="10"/>
      <c r="E10" s="10"/>
      <c r="F10" s="10"/>
      <c r="G10" s="10"/>
    </row>
    <row r="11" spans="1:7" ht="15" customHeight="1" x14ac:dyDescent="0.25">
      <c r="A11" s="10" t="str">
        <f t="array" ref="A11">IFERROR(INDEX(Materiais!$C$2:$C$10000,MATCH(0,COUNTIF($A$2:A10,Materiais!$C$2:$C$10000),0)),"")</f>
        <v>Molas e Amortecedores</v>
      </c>
      <c r="B11" s="12">
        <f>SUMIF(Materiais!$C:$C,A11,Materiais!$O:$O)</f>
        <v>411300</v>
      </c>
      <c r="C11" s="10"/>
      <c r="D11" s="10"/>
      <c r="E11" s="10"/>
      <c r="F11" s="10"/>
      <c r="G11" s="10"/>
    </row>
    <row r="12" spans="1:7" ht="15" customHeight="1" x14ac:dyDescent="0.25">
      <c r="A12" s="10" t="str">
        <f t="array" ref="A12">IFERROR(INDEX(Materiais!$C$2:$C$10000,MATCH(0,COUNTIF($A$2:A11,Materiais!$C$2:$C$10000),0)),"")</f>
        <v>Filtros</v>
      </c>
      <c r="B12" s="12">
        <f>SUMIF(Materiais!$C:$C,A12,Materiais!$O:$O)</f>
        <v>32545</v>
      </c>
      <c r="C12" s="10"/>
      <c r="D12" s="10"/>
      <c r="E12" s="10"/>
      <c r="F12" s="10"/>
      <c r="G12" s="10"/>
    </row>
    <row r="13" spans="1:7" ht="15" customHeight="1" x14ac:dyDescent="0.25">
      <c r="A13" s="10"/>
      <c r="B13" s="10"/>
      <c r="C13" s="10"/>
      <c r="D13" s="10"/>
      <c r="E13" s="10"/>
      <c r="F13" s="10"/>
      <c r="G13" s="10"/>
    </row>
    <row r="14" spans="1:7" ht="15" customHeight="1" x14ac:dyDescent="0.25">
      <c r="A14" s="10"/>
      <c r="B14" s="10"/>
      <c r="C14" s="10"/>
      <c r="D14" s="10"/>
      <c r="E14" s="10"/>
      <c r="F14" s="10"/>
      <c r="G14" s="10"/>
    </row>
    <row r="15" spans="1:7" ht="15" customHeight="1" x14ac:dyDescent="0.25">
      <c r="A15" s="105" t="s">
        <v>196</v>
      </c>
      <c r="B15" s="105"/>
      <c r="C15" s="105"/>
      <c r="D15" s="10"/>
      <c r="E15" s="10"/>
      <c r="F15" s="15" t="s">
        <v>319</v>
      </c>
      <c r="G15" t="s">
        <v>1690</v>
      </c>
    </row>
    <row r="16" spans="1:7" ht="15" customHeight="1" x14ac:dyDescent="0.25">
      <c r="A16" s="11" t="s">
        <v>183</v>
      </c>
      <c r="B16" s="11" t="s">
        <v>182</v>
      </c>
      <c r="C16" s="10"/>
      <c r="D16" s="10"/>
      <c r="E16" s="10"/>
      <c r="F16" s="16" t="s">
        <v>187</v>
      </c>
      <c r="G16" s="106">
        <v>2</v>
      </c>
    </row>
    <row r="17" spans="1:7" ht="15" customHeight="1" x14ac:dyDescent="0.25">
      <c r="A17" s="10" t="s">
        <v>188</v>
      </c>
      <c r="B17" s="10">
        <f>GETPIVOTDATA("Requisição",$F$15,"Status","Pendente")</f>
        <v>8</v>
      </c>
      <c r="C17" s="10"/>
      <c r="D17" s="10"/>
      <c r="E17" s="10"/>
      <c r="F17" s="16" t="s">
        <v>185</v>
      </c>
      <c r="G17" s="106">
        <v>13</v>
      </c>
    </row>
    <row r="18" spans="1:7" ht="15" customHeight="1" x14ac:dyDescent="0.25">
      <c r="A18" s="10" t="s">
        <v>187</v>
      </c>
      <c r="B18" s="10">
        <f>GETPIVOTDATA("Requisição",$F$15,"Status","Aguardando Aprovacao")</f>
        <v>2</v>
      </c>
      <c r="C18" s="10"/>
      <c r="D18" s="10"/>
      <c r="E18" s="10"/>
      <c r="F18" s="16" t="s">
        <v>186</v>
      </c>
      <c r="G18" s="106">
        <v>7</v>
      </c>
    </row>
    <row r="19" spans="1:7" ht="15" customHeight="1" x14ac:dyDescent="0.25">
      <c r="A19" s="10" t="s">
        <v>186</v>
      </c>
      <c r="B19" s="10">
        <f>GETPIVOTDATA("Requisição",$F$15,"Status","Em Cotacao")</f>
        <v>7</v>
      </c>
      <c r="C19" s="10"/>
      <c r="D19" s="10"/>
      <c r="E19" s="10"/>
      <c r="F19" s="16" t="s">
        <v>188</v>
      </c>
      <c r="G19" s="106">
        <v>8</v>
      </c>
    </row>
    <row r="20" spans="1:7" ht="15" customHeight="1" x14ac:dyDescent="0.25">
      <c r="A20" s="10" t="s">
        <v>185</v>
      </c>
      <c r="B20" s="10">
        <f>GETPIVOTDATA("Requisição",$F$15,"Status","Convertida")</f>
        <v>13</v>
      </c>
      <c r="C20" s="10"/>
      <c r="D20" s="10"/>
      <c r="E20" s="10"/>
      <c r="F20" s="16" t="s">
        <v>320</v>
      </c>
      <c r="G20" s="106">
        <v>30</v>
      </c>
    </row>
    <row r="21" spans="1:7" ht="15" customHeight="1" x14ac:dyDescent="0.25">
      <c r="A21" s="10"/>
      <c r="B21" s="10"/>
      <c r="C21" s="10"/>
      <c r="D21" s="10"/>
      <c r="E21" s="10"/>
    </row>
    <row r="22" spans="1:7" ht="15" customHeight="1" x14ac:dyDescent="0.25">
      <c r="A22" s="10"/>
      <c r="B22" s="10"/>
      <c r="C22" s="10"/>
      <c r="D22" s="10"/>
      <c r="E22" s="10"/>
      <c r="F22" s="10"/>
      <c r="G22" s="10"/>
    </row>
    <row r="23" spans="1:7" ht="15" customHeight="1" x14ac:dyDescent="0.25">
      <c r="A23" s="105" t="s">
        <v>197</v>
      </c>
      <c r="B23" s="105"/>
      <c r="C23" s="105"/>
      <c r="D23" s="10"/>
      <c r="E23" s="10"/>
      <c r="F23" s="15" t="s">
        <v>319</v>
      </c>
      <c r="G23" t="s">
        <v>1691</v>
      </c>
    </row>
    <row r="24" spans="1:7" ht="15" customHeight="1" x14ac:dyDescent="0.25">
      <c r="A24" s="11" t="s">
        <v>183</v>
      </c>
      <c r="B24" s="11" t="s">
        <v>182</v>
      </c>
      <c r="C24" s="10"/>
      <c r="D24" s="10"/>
      <c r="E24" s="10"/>
      <c r="F24" s="16" t="s">
        <v>199</v>
      </c>
      <c r="G24" s="106">
        <v>36</v>
      </c>
    </row>
    <row r="25" spans="1:7" ht="15" customHeight="1" x14ac:dyDescent="0.25">
      <c r="A25" s="10" t="s">
        <v>198</v>
      </c>
      <c r="B25" s="10">
        <f>GETPIVOTDATA("Pedido",$F$23,"Status","Em Transito")</f>
        <v>10</v>
      </c>
      <c r="C25" s="10"/>
      <c r="D25" s="10"/>
      <c r="E25" s="10"/>
      <c r="F25" s="16" t="s">
        <v>198</v>
      </c>
      <c r="G25" s="106">
        <v>10</v>
      </c>
    </row>
    <row r="26" spans="1:7" ht="15" customHeight="1" x14ac:dyDescent="0.25">
      <c r="A26" s="10" t="s">
        <v>199</v>
      </c>
      <c r="B26" s="10">
        <f>GETPIVOTDATA("Pedido",$F$23,"Status","Atrasado")</f>
        <v>36</v>
      </c>
      <c r="C26" s="10"/>
      <c r="D26" s="10"/>
      <c r="E26" s="10"/>
      <c r="F26" s="16" t="s">
        <v>200</v>
      </c>
      <c r="G26" s="106">
        <v>90</v>
      </c>
    </row>
    <row r="27" spans="1:7" ht="15" customHeight="1" x14ac:dyDescent="0.25">
      <c r="A27" s="10" t="s">
        <v>200</v>
      </c>
      <c r="B27" s="10">
        <f>GETPIVOTDATA("Pedido",$F$23,"Status","Recebido")</f>
        <v>90</v>
      </c>
      <c r="C27" s="10"/>
      <c r="D27" s="10"/>
      <c r="E27" s="10"/>
      <c r="F27" s="16" t="s">
        <v>320</v>
      </c>
      <c r="G27" s="106">
        <v>136</v>
      </c>
    </row>
    <row r="28" spans="1:7" ht="15" customHeight="1" x14ac:dyDescent="0.25">
      <c r="A28" s="10"/>
      <c r="B28" s="10"/>
      <c r="C28" s="10"/>
      <c r="D28" s="10"/>
      <c r="E28" s="10"/>
    </row>
    <row r="29" spans="1:7" ht="15" customHeight="1" x14ac:dyDescent="0.25">
      <c r="A29" s="10"/>
      <c r="B29" s="10"/>
      <c r="C29" s="10"/>
      <c r="D29" s="10"/>
      <c r="E29" s="10"/>
    </row>
    <row r="30" spans="1:7" ht="15" customHeight="1" x14ac:dyDescent="0.25">
      <c r="A30" s="105" t="s">
        <v>201</v>
      </c>
      <c r="B30" s="105"/>
      <c r="C30" s="105"/>
      <c r="D30" s="10"/>
      <c r="E30" s="10"/>
    </row>
    <row r="31" spans="1:7" ht="15" customHeight="1" x14ac:dyDescent="0.25">
      <c r="A31" s="11" t="s">
        <v>202</v>
      </c>
      <c r="B31" s="11" t="s">
        <v>203</v>
      </c>
      <c r="C31" s="10"/>
      <c r="D31" s="10"/>
      <c r="E31" s="10"/>
    </row>
    <row r="32" spans="1:7" ht="15" customHeight="1" x14ac:dyDescent="0.25">
      <c r="A32" s="10" t="s">
        <v>204</v>
      </c>
      <c r="B32" s="10">
        <f>COUNTIF(Materiais!$P:$P,"&lt;7")</f>
        <v>7</v>
      </c>
      <c r="C32" s="10"/>
      <c r="D32" s="10"/>
      <c r="E32" s="10"/>
    </row>
    <row r="33" spans="1:7" ht="15" customHeight="1" x14ac:dyDescent="0.25">
      <c r="A33" s="10" t="s">
        <v>205</v>
      </c>
      <c r="B33" s="10">
        <f>COUNTIFS(Materiais!$P:$P,"&gt;=7",Materiais!$P:$P,"&lt;30")</f>
        <v>13</v>
      </c>
      <c r="C33" s="10"/>
      <c r="D33" s="10"/>
      <c r="E33" s="10"/>
    </row>
    <row r="34" spans="1:7" ht="15" customHeight="1" x14ac:dyDescent="0.25">
      <c r="A34" s="10" t="s">
        <v>206</v>
      </c>
      <c r="B34" s="10">
        <f>COUNTIFS(Materiais!$P:$P,"&gt;=30",Materiais!$P:$P,"&lt;90")</f>
        <v>17</v>
      </c>
      <c r="C34" s="10"/>
      <c r="D34" s="10"/>
      <c r="E34" s="10"/>
    </row>
    <row r="35" spans="1:7" ht="15" customHeight="1" x14ac:dyDescent="0.25">
      <c r="A35" s="10" t="s">
        <v>207</v>
      </c>
      <c r="B35" s="10">
        <f>COUNTIF(Materiais!$P:$P,"&gt;=90")</f>
        <v>8</v>
      </c>
      <c r="C35" s="10"/>
      <c r="D35" s="10"/>
      <c r="E35" s="10"/>
    </row>
    <row r="36" spans="1:7" ht="15" customHeight="1" x14ac:dyDescent="0.25">
      <c r="A36" s="10"/>
      <c r="B36" s="10"/>
      <c r="C36" s="10"/>
      <c r="D36" s="10"/>
      <c r="E36" s="10"/>
    </row>
    <row r="37" spans="1:7" ht="15" customHeight="1" x14ac:dyDescent="0.25">
      <c r="A37" s="10"/>
      <c r="B37" s="10"/>
      <c r="C37" s="10"/>
      <c r="D37" s="10"/>
      <c r="E37" s="10"/>
    </row>
    <row r="38" spans="1:7" ht="15" customHeight="1" x14ac:dyDescent="0.25">
      <c r="A38" s="105" t="s">
        <v>208</v>
      </c>
      <c r="B38" s="105"/>
      <c r="C38" s="105"/>
      <c r="D38" s="10"/>
      <c r="E38" s="10"/>
    </row>
    <row r="39" spans="1:7" ht="15" customHeight="1" x14ac:dyDescent="0.25">
      <c r="A39" s="11" t="s">
        <v>209</v>
      </c>
      <c r="B39" s="11" t="s">
        <v>203</v>
      </c>
      <c r="C39" s="11" t="s">
        <v>195</v>
      </c>
      <c r="D39" s="10"/>
      <c r="E39" s="10"/>
    </row>
    <row r="40" spans="1:7" ht="15" customHeight="1" x14ac:dyDescent="0.25">
      <c r="A40" s="10" t="s">
        <v>210</v>
      </c>
      <c r="B40" s="10">
        <f>COUNTIF(Materiais!$W:$W,A40)</f>
        <v>3</v>
      </c>
      <c r="C40" s="12">
        <f>SUMIF(Materiais!$W:$W,A40,Materiais!$O:$O)</f>
        <v>13004900</v>
      </c>
      <c r="D40" s="10"/>
      <c r="E40" s="10"/>
    </row>
    <row r="41" spans="1:7" ht="15" customHeight="1" x14ac:dyDescent="0.25">
      <c r="A41" s="10" t="s">
        <v>211</v>
      </c>
      <c r="B41" s="10">
        <f>COUNTIF(Materiais!$W:$W,A41)</f>
        <v>7</v>
      </c>
      <c r="C41" s="12">
        <f>SUMIF(Materiais!$W:$W,A41,Materiais!$O:$O)</f>
        <v>5106190</v>
      </c>
      <c r="D41" s="10"/>
      <c r="E41" s="10"/>
      <c r="G41" s="10"/>
    </row>
    <row r="42" spans="1:7" ht="15" customHeight="1" x14ac:dyDescent="0.25">
      <c r="A42" s="10" t="s">
        <v>212</v>
      </c>
      <c r="B42" s="10">
        <f>COUNTIF(Materiais!$W:$W,A42)</f>
        <v>35</v>
      </c>
      <c r="C42" s="12">
        <f>SUMIF(Materiais!$W:$W,A42,Materiais!$O:$O)</f>
        <v>2143326.9000000004</v>
      </c>
      <c r="D42" s="10"/>
      <c r="E42" s="10"/>
      <c r="G42" s="10"/>
    </row>
    <row r="43" spans="1:7" ht="15" customHeight="1" x14ac:dyDescent="0.25">
      <c r="A43" s="10"/>
      <c r="B43" s="10"/>
      <c r="C43" s="10"/>
      <c r="D43" s="10"/>
      <c r="E43" s="10"/>
      <c r="G43" s="10"/>
    </row>
    <row r="44" spans="1:7" ht="15" customHeight="1" x14ac:dyDescent="0.25">
      <c r="A44" s="10"/>
      <c r="B44" s="10"/>
      <c r="C44" s="10"/>
      <c r="D44" s="10"/>
      <c r="E44" s="10"/>
      <c r="G44" s="10"/>
    </row>
    <row r="45" spans="1:7" ht="15" customHeight="1" x14ac:dyDescent="0.25">
      <c r="A45" s="105" t="s">
        <v>213</v>
      </c>
      <c r="B45" s="105"/>
      <c r="C45" s="105"/>
      <c r="D45" s="10"/>
      <c r="E45" s="10"/>
      <c r="G45" s="10"/>
    </row>
    <row r="46" spans="1:7" ht="15" customHeight="1" x14ac:dyDescent="0.25">
      <c r="A46" s="11" t="s">
        <v>202</v>
      </c>
      <c r="B46" s="11" t="s">
        <v>214</v>
      </c>
      <c r="C46" s="10"/>
      <c r="D46" s="10"/>
      <c r="E46" s="10"/>
      <c r="G46" s="10"/>
    </row>
    <row r="47" spans="1:7" ht="15" customHeight="1" x14ac:dyDescent="0.25">
      <c r="A47" s="41" t="s">
        <v>1692</v>
      </c>
      <c r="B47" s="12">
        <f ca="1">SUMIFS(Materiais!$O:$O,Materiais!$S:$S,"&gt;=0",Materiais!$S:$S,"&lt;90")</f>
        <v>8300816.9000000004</v>
      </c>
      <c r="C47" s="10"/>
      <c r="D47" s="10"/>
      <c r="E47" s="10"/>
      <c r="G47" s="10"/>
    </row>
    <row r="48" spans="1:7" ht="15" customHeight="1" x14ac:dyDescent="0.25">
      <c r="A48" s="10" t="s">
        <v>215</v>
      </c>
      <c r="B48" s="12">
        <f ca="1">SUMIFS(Materiais!$O:$O,Materiais!$S:$S,"&gt;=90",Materiais!$S:$S,"&lt;180")</f>
        <v>1711200</v>
      </c>
      <c r="C48" s="10"/>
      <c r="D48" s="10"/>
      <c r="E48" s="10"/>
      <c r="G48" s="10"/>
    </row>
    <row r="49" spans="1:7" ht="15" customHeight="1" x14ac:dyDescent="0.25">
      <c r="A49" s="10" t="s">
        <v>216</v>
      </c>
      <c r="B49" s="12">
        <f ca="1">SUMIFS(Materiais!$O:$O,Materiais!$S:$S,"&gt;=180",Materiais!$S:$S,"&lt;365")</f>
        <v>6098400</v>
      </c>
      <c r="C49" s="10"/>
      <c r="D49" s="10"/>
      <c r="E49" s="10"/>
      <c r="G49" s="10"/>
    </row>
    <row r="50" spans="1:7" ht="15" customHeight="1" x14ac:dyDescent="0.25">
      <c r="A50" s="10" t="s">
        <v>217</v>
      </c>
      <c r="B50" s="12">
        <f ca="1">SUMIFS(Materiais!$O:$O,Materiais!$S:$S,"&gt;=365")</f>
        <v>4144000</v>
      </c>
      <c r="C50" s="10"/>
      <c r="D50" s="10"/>
      <c r="E50" s="10"/>
      <c r="G50" s="10"/>
    </row>
    <row r="51" spans="1:7" ht="15" customHeight="1" x14ac:dyDescent="0.25">
      <c r="A51" s="10"/>
      <c r="B51" s="10"/>
      <c r="C51" s="10"/>
      <c r="D51" s="10"/>
      <c r="E51" s="10"/>
      <c r="G51" s="10"/>
    </row>
    <row r="52" spans="1:7" ht="15" customHeight="1" x14ac:dyDescent="0.25">
      <c r="A52" s="105" t="s">
        <v>218</v>
      </c>
      <c r="B52" s="105"/>
      <c r="C52" s="105"/>
      <c r="D52" s="10"/>
      <c r="E52" s="10"/>
      <c r="G52" s="10"/>
    </row>
    <row r="53" spans="1:7" ht="15" customHeight="1" x14ac:dyDescent="0.25">
      <c r="A53" s="11" t="s">
        <v>42</v>
      </c>
      <c r="B53" s="11" t="s">
        <v>219</v>
      </c>
      <c r="C53" s="10"/>
      <c r="D53" s="10"/>
      <c r="E53" s="10"/>
      <c r="G53" s="10"/>
    </row>
    <row r="54" spans="1:7" ht="15" customHeight="1" x14ac:dyDescent="0.25">
      <c r="A54" s="10" t="str">
        <f>Fornecedores!B2</f>
        <v>Metso Outotec Brasil</v>
      </c>
      <c r="B54" s="10">
        <f ca="1">IFERROR(Fornecedores!I2,"")</f>
        <v>5</v>
      </c>
      <c r="C54" s="10"/>
      <c r="D54" s="10"/>
      <c r="E54" s="10"/>
      <c r="G54" s="10"/>
    </row>
    <row r="55" spans="1:7" ht="15" customHeight="1" x14ac:dyDescent="0.25">
      <c r="A55" s="10" t="str">
        <f>Fornecedores!B3</f>
        <v>SKF do Brasil Ltda</v>
      </c>
      <c r="B55" s="10">
        <f ca="1">IFERROR(Fornecedores!I3,"")</f>
        <v>7</v>
      </c>
      <c r="C55" s="10"/>
      <c r="D55" s="10"/>
      <c r="E55" s="10"/>
      <c r="G55" s="10"/>
    </row>
    <row r="56" spans="1:7" ht="15" customHeight="1" x14ac:dyDescent="0.25">
      <c r="A56" s="10" t="str">
        <f>Fornecedores!B4</f>
        <v>WEG Equipamentos Eletricos</v>
      </c>
      <c r="B56" s="10">
        <f ca="1">IFERROR(Fornecedores!I4,"")</f>
        <v>7</v>
      </c>
      <c r="C56" s="10"/>
      <c r="D56" s="10"/>
      <c r="E56" s="10"/>
      <c r="G56" s="10"/>
    </row>
    <row r="57" spans="1:7" ht="15" customHeight="1" x14ac:dyDescent="0.25">
      <c r="A57" s="10" t="str">
        <f>Fornecedores!B5</f>
        <v>Parker Hannifin Ind. e Com.</v>
      </c>
      <c r="B57" s="10">
        <f ca="1">IFERROR(Fornecedores!I5,"")</f>
        <v>9</v>
      </c>
      <c r="C57" s="10"/>
      <c r="D57" s="10"/>
      <c r="E57" s="10"/>
      <c r="G57" s="10"/>
    </row>
    <row r="58" spans="1:7" ht="15" customHeight="1" x14ac:dyDescent="0.25">
      <c r="A58" s="10" t="str">
        <f>Fornecedores!B6</f>
        <v>Continental Correias Ind.</v>
      </c>
      <c r="B58" s="10">
        <f ca="1">IFERROR(Fornecedores!I6,"")</f>
        <v>8</v>
      </c>
      <c r="C58" s="10"/>
      <c r="D58" s="10"/>
      <c r="E58" s="10"/>
      <c r="G58" s="10"/>
    </row>
    <row r="59" spans="1:7" ht="15" customHeight="1" x14ac:dyDescent="0.25">
      <c r="A59" s="10" t="str">
        <f>Fornecedores!B7</f>
        <v/>
      </c>
      <c r="B59" s="10"/>
      <c r="C59" s="10"/>
      <c r="D59" s="10"/>
      <c r="E59" s="10"/>
      <c r="G59" s="10"/>
    </row>
    <row r="60" spans="1:7" ht="15" customHeight="1" x14ac:dyDescent="0.25">
      <c r="A60" s="10" t="str">
        <f>Fornecedores!B8</f>
        <v/>
      </c>
      <c r="B60" s="10"/>
      <c r="C60" s="10"/>
      <c r="D60" s="10"/>
      <c r="E60" s="10"/>
      <c r="G60" s="10"/>
    </row>
    <row r="61" spans="1:7" ht="15" customHeight="1" x14ac:dyDescent="0.25">
      <c r="A61" s="10" t="str">
        <f>Fornecedores!B9</f>
        <v/>
      </c>
      <c r="B61" s="10"/>
      <c r="C61" s="10"/>
      <c r="D61" s="10"/>
      <c r="E61" s="10"/>
      <c r="G61" s="10"/>
    </row>
    <row r="62" spans="1:7" ht="15" customHeight="1" x14ac:dyDescent="0.25">
      <c r="A62" s="10"/>
      <c r="B62" s="10"/>
      <c r="C62" s="10"/>
      <c r="D62" s="10"/>
      <c r="E62" s="10"/>
      <c r="G62" s="10"/>
    </row>
  </sheetData>
  <mergeCells count="7">
    <mergeCell ref="A45:C45"/>
    <mergeCell ref="A52:C52"/>
    <mergeCell ref="A1:C1"/>
    <mergeCell ref="A15:C15"/>
    <mergeCell ref="A23:C23"/>
    <mergeCell ref="A30:C30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Dashboard</vt:lpstr>
      <vt:lpstr>Materiais</vt:lpstr>
      <vt:lpstr>Fornecedores</vt:lpstr>
      <vt:lpstr>Movimentacoes</vt:lpstr>
      <vt:lpstr>Requisicoes</vt:lpstr>
      <vt:lpstr>Pedidos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</cp:lastModifiedBy>
  <cp:revision>2</cp:revision>
  <dcterms:created xsi:type="dcterms:W3CDTF">2026-08-22T19:53:25Z</dcterms:created>
  <dcterms:modified xsi:type="dcterms:W3CDTF">2026-08-25T13:46:34Z</dcterms:modified>
  <dc:language>en-US</dc:language>
</cp:coreProperties>
</file>