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iego\Desktop\"/>
    </mc:Choice>
  </mc:AlternateContent>
  <xr:revisionPtr revIDLastSave="0" documentId="13_ncr:1_{73DAE786-BFEB-4BBE-A661-A6AA31749E27}" xr6:coauthVersionLast="47" xr6:coauthVersionMax="47" xr10:uidLastSave="{00000000-0000-0000-0000-000000000000}"/>
  <bookViews>
    <workbookView xWindow="-120" yWindow="-120" windowWidth="20730" windowHeight="11160" tabRatio="744" activeTab="3" xr2:uid="{00000000-000D-0000-FFFF-FFFF00000000}"/>
  </bookViews>
  <sheets>
    <sheet name="Leia-me" sheetId="1" r:id="rId1"/>
    <sheet name="Dashboard" sheetId="2" r:id="rId2"/>
    <sheet name="Materiais" sheetId="3" r:id="rId3"/>
    <sheet name="Fornecedores" sheetId="4" r:id="rId4"/>
    <sheet name="Movimentacoes" sheetId="5" r:id="rId5"/>
    <sheet name="Requisicoes" sheetId="6" r:id="rId6"/>
    <sheet name="Pedidos" sheetId="7" r:id="rId7"/>
    <sheet name="Indicadores" sheetId="8" r:id="rId8"/>
  </sheets>
  <calcPr calcId="191029"/>
  <pivotCaches>
    <pivotCache cacheId="4" r:id="rId9"/>
    <pivotCache cacheId="17" r:id="rId10"/>
  </pivotCaches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2" i="6" l="1"/>
  <c r="B32" i="6"/>
  <c r="N33" i="7"/>
  <c r="M33" i="7"/>
  <c r="L33" i="7"/>
  <c r="I33" i="7"/>
  <c r="H33" i="7"/>
  <c r="F33" i="7"/>
  <c r="B33" i="7"/>
  <c r="N32" i="7"/>
  <c r="M32" i="7"/>
  <c r="L32" i="7"/>
  <c r="I32" i="7"/>
  <c r="H32" i="7"/>
  <c r="F32" i="7"/>
  <c r="B32" i="7"/>
  <c r="A61" i="8"/>
  <c r="A60" i="8"/>
  <c r="A59" i="8"/>
  <c r="A58" i="8"/>
  <c r="A57" i="8"/>
  <c r="A56" i="8"/>
  <c r="A55" i="8"/>
  <c r="A54" i="8"/>
  <c r="N31" i="7"/>
  <c r="M31" i="7"/>
  <c r="L31" i="7"/>
  <c r="H31" i="7"/>
  <c r="I31" i="7" s="1"/>
  <c r="B31" i="7"/>
  <c r="F31" i="7"/>
  <c r="N30" i="7"/>
  <c r="M30" i="7"/>
  <c r="L30" i="7"/>
  <c r="H30" i="7"/>
  <c r="I30" i="7" s="1"/>
  <c r="B30" i="7"/>
  <c r="F30" i="7"/>
  <c r="N29" i="7"/>
  <c r="M29" i="7"/>
  <c r="L29" i="7"/>
  <c r="H29" i="7"/>
  <c r="I29" i="7" s="1"/>
  <c r="B29" i="7"/>
  <c r="F29" i="7"/>
  <c r="N28" i="7"/>
  <c r="M28" i="7"/>
  <c r="L28" i="7"/>
  <c r="H28" i="7"/>
  <c r="I28" i="7" s="1"/>
  <c r="B28" i="7"/>
  <c r="F28" i="7"/>
  <c r="N27" i="7"/>
  <c r="M27" i="7"/>
  <c r="L27" i="7"/>
  <c r="H27" i="7"/>
  <c r="I27" i="7" s="1"/>
  <c r="B27" i="7"/>
  <c r="F27" i="7"/>
  <c r="N26" i="7"/>
  <c r="M26" i="7"/>
  <c r="L26" i="7"/>
  <c r="H26" i="7"/>
  <c r="I26" i="7" s="1"/>
  <c r="B26" i="7"/>
  <c r="F26" i="7"/>
  <c r="N25" i="7"/>
  <c r="M25" i="7"/>
  <c r="L25" i="7"/>
  <c r="H25" i="7"/>
  <c r="I25" i="7" s="1"/>
  <c r="B25" i="7"/>
  <c r="F25" i="7"/>
  <c r="N24" i="7"/>
  <c r="M24" i="7"/>
  <c r="L24" i="7"/>
  <c r="H24" i="7"/>
  <c r="I24" i="7" s="1"/>
  <c r="B24" i="7"/>
  <c r="F24" i="7"/>
  <c r="N23" i="7"/>
  <c r="M23" i="7"/>
  <c r="L23" i="7"/>
  <c r="H23" i="7"/>
  <c r="I23" i="7" s="1"/>
  <c r="B23" i="7"/>
  <c r="F23" i="7"/>
  <c r="N22" i="7"/>
  <c r="M22" i="7"/>
  <c r="L22" i="7"/>
  <c r="H22" i="7"/>
  <c r="I22" i="7" s="1"/>
  <c r="B22" i="7"/>
  <c r="F22" i="7"/>
  <c r="N21" i="7"/>
  <c r="M21" i="7"/>
  <c r="L21" i="7"/>
  <c r="H21" i="7"/>
  <c r="I21" i="7" s="1"/>
  <c r="B21" i="7"/>
  <c r="F21" i="7"/>
  <c r="N20" i="7"/>
  <c r="M20" i="7"/>
  <c r="L20" i="7"/>
  <c r="H20" i="7"/>
  <c r="I20" i="7" s="1"/>
  <c r="B20" i="7"/>
  <c r="F20" i="7"/>
  <c r="N19" i="7"/>
  <c r="M19" i="7"/>
  <c r="L19" i="7"/>
  <c r="H19" i="7"/>
  <c r="I19" i="7" s="1"/>
  <c r="B19" i="7"/>
  <c r="F19" i="7"/>
  <c r="N18" i="7"/>
  <c r="M18" i="7"/>
  <c r="L18" i="7"/>
  <c r="H18" i="7"/>
  <c r="I18" i="7" s="1"/>
  <c r="B18" i="7"/>
  <c r="F18" i="7"/>
  <c r="N17" i="7"/>
  <c r="M17" i="7"/>
  <c r="L17" i="7"/>
  <c r="H17" i="7"/>
  <c r="I17" i="7" s="1"/>
  <c r="B17" i="7"/>
  <c r="F17" i="7"/>
  <c r="N16" i="7"/>
  <c r="M16" i="7"/>
  <c r="L16" i="7"/>
  <c r="H16" i="7"/>
  <c r="I16" i="7" s="1"/>
  <c r="B16" i="7"/>
  <c r="F16" i="7"/>
  <c r="N15" i="7"/>
  <c r="M15" i="7"/>
  <c r="L15" i="7"/>
  <c r="H15" i="7"/>
  <c r="I15" i="7" s="1"/>
  <c r="B15" i="7"/>
  <c r="F15" i="7"/>
  <c r="N14" i="7"/>
  <c r="M14" i="7"/>
  <c r="L14" i="7"/>
  <c r="H14" i="7"/>
  <c r="I14" i="7" s="1"/>
  <c r="B14" i="7"/>
  <c r="F14" i="7"/>
  <c r="N13" i="7"/>
  <c r="M13" i="7"/>
  <c r="L13" i="7"/>
  <c r="H13" i="7"/>
  <c r="I13" i="7" s="1"/>
  <c r="B13" i="7"/>
  <c r="F13" i="7"/>
  <c r="N12" i="7"/>
  <c r="M12" i="7"/>
  <c r="L12" i="7"/>
  <c r="H12" i="7"/>
  <c r="I12" i="7" s="1"/>
  <c r="B12" i="7"/>
  <c r="F12" i="7"/>
  <c r="N11" i="7"/>
  <c r="M11" i="7"/>
  <c r="L11" i="7"/>
  <c r="H11" i="7"/>
  <c r="I11" i="7" s="1"/>
  <c r="B11" i="7"/>
  <c r="F11" i="7"/>
  <c r="N10" i="7"/>
  <c r="M10" i="7"/>
  <c r="L10" i="7"/>
  <c r="H10" i="7"/>
  <c r="I10" i="7" s="1"/>
  <c r="B10" i="7"/>
  <c r="F10" i="7"/>
  <c r="N9" i="7"/>
  <c r="M9" i="7"/>
  <c r="L9" i="7"/>
  <c r="H9" i="7"/>
  <c r="I9" i="7" s="1"/>
  <c r="B9" i="7"/>
  <c r="F9" i="7"/>
  <c r="N8" i="7"/>
  <c r="M8" i="7"/>
  <c r="L8" i="7"/>
  <c r="H8" i="7"/>
  <c r="I8" i="7" s="1"/>
  <c r="B8" i="7"/>
  <c r="F8" i="7"/>
  <c r="N7" i="7"/>
  <c r="M7" i="7"/>
  <c r="L7" i="7"/>
  <c r="H7" i="7"/>
  <c r="I7" i="7" s="1"/>
  <c r="B7" i="7"/>
  <c r="F7" i="7"/>
  <c r="N6" i="7"/>
  <c r="M6" i="7"/>
  <c r="L6" i="7"/>
  <c r="H6" i="7"/>
  <c r="I6" i="7" s="1"/>
  <c r="B6" i="7"/>
  <c r="F6" i="7"/>
  <c r="N5" i="7"/>
  <c r="M5" i="7"/>
  <c r="L5" i="7"/>
  <c r="H5" i="7"/>
  <c r="I5" i="7" s="1"/>
  <c r="B5" i="7"/>
  <c r="F5" i="7"/>
  <c r="N4" i="7"/>
  <c r="M4" i="7"/>
  <c r="L4" i="7"/>
  <c r="H4" i="7"/>
  <c r="I4" i="7" s="1"/>
  <c r="B4" i="7"/>
  <c r="F4" i="7"/>
  <c r="N3" i="7"/>
  <c r="M3" i="7"/>
  <c r="L3" i="7"/>
  <c r="H3" i="7"/>
  <c r="I3" i="7" s="1"/>
  <c r="B3" i="7"/>
  <c r="F3" i="7"/>
  <c r="N2" i="7"/>
  <c r="M2" i="7"/>
  <c r="L2" i="7"/>
  <c r="H2" i="7"/>
  <c r="I2" i="7" s="1"/>
  <c r="B2" i="7"/>
  <c r="F2" i="7"/>
  <c r="G31" i="6"/>
  <c r="B31" i="6"/>
  <c r="G30" i="6"/>
  <c r="B30" i="6"/>
  <c r="G29" i="6"/>
  <c r="B29" i="6"/>
  <c r="G28" i="6"/>
  <c r="B28" i="6"/>
  <c r="G27" i="6"/>
  <c r="B27" i="6"/>
  <c r="G26" i="6"/>
  <c r="B26" i="6"/>
  <c r="G25" i="6"/>
  <c r="B25" i="6"/>
  <c r="G24" i="6"/>
  <c r="B24" i="6"/>
  <c r="G23" i="6"/>
  <c r="B23" i="6"/>
  <c r="G22" i="6"/>
  <c r="B22" i="6"/>
  <c r="G21" i="6"/>
  <c r="B21" i="6"/>
  <c r="G20" i="6"/>
  <c r="B20" i="6"/>
  <c r="G19" i="6"/>
  <c r="B19" i="6"/>
  <c r="G18" i="6"/>
  <c r="B18" i="6"/>
  <c r="G17" i="6"/>
  <c r="B17" i="6"/>
  <c r="G16" i="6"/>
  <c r="B16" i="6"/>
  <c r="G15" i="6"/>
  <c r="B15" i="6"/>
  <c r="G14" i="6"/>
  <c r="B14" i="6"/>
  <c r="G13" i="6"/>
  <c r="B13" i="6"/>
  <c r="G12" i="6"/>
  <c r="B12" i="6"/>
  <c r="G11" i="6"/>
  <c r="B11" i="6"/>
  <c r="G10" i="6"/>
  <c r="B10" i="6"/>
  <c r="G9" i="6"/>
  <c r="B9" i="6"/>
  <c r="G8" i="6"/>
  <c r="B8" i="6"/>
  <c r="G7" i="6"/>
  <c r="B7" i="6"/>
  <c r="G6" i="6"/>
  <c r="B6" i="6"/>
  <c r="G5" i="6"/>
  <c r="B5" i="6"/>
  <c r="G4" i="6"/>
  <c r="B4" i="6"/>
  <c r="G3" i="6"/>
  <c r="B3" i="6"/>
  <c r="G2" i="6"/>
  <c r="B2" i="6"/>
  <c r="E9" i="4"/>
  <c r="E8" i="4"/>
  <c r="E7" i="4"/>
  <c r="E6" i="4"/>
  <c r="E5" i="4"/>
  <c r="E4" i="4"/>
  <c r="E3" i="4"/>
  <c r="E2" i="4"/>
  <c r="T46" i="3"/>
  <c r="S46" i="3"/>
  <c r="Q46" i="3"/>
  <c r="P46" i="3"/>
  <c r="N46" i="3"/>
  <c r="M46" i="3"/>
  <c r="R46" i="3" s="1"/>
  <c r="L46" i="3"/>
  <c r="S45" i="3"/>
  <c r="T45" i="3" s="1"/>
  <c r="P45" i="3"/>
  <c r="M45" i="3"/>
  <c r="R45" i="3" s="1"/>
  <c r="L45" i="3"/>
  <c r="S44" i="3"/>
  <c r="T44" i="3" s="1"/>
  <c r="R44" i="3"/>
  <c r="P44" i="3"/>
  <c r="M44" i="3"/>
  <c r="N44" i="3" s="1"/>
  <c r="L44" i="3"/>
  <c r="S43" i="3"/>
  <c r="T43" i="3" s="1"/>
  <c r="P43" i="3"/>
  <c r="M43" i="3"/>
  <c r="L43" i="3"/>
  <c r="S42" i="3"/>
  <c r="T42" i="3" s="1"/>
  <c r="P42" i="3"/>
  <c r="M42" i="3"/>
  <c r="R42" i="3" s="1"/>
  <c r="L42" i="3"/>
  <c r="S41" i="3"/>
  <c r="T41" i="3" s="1"/>
  <c r="R41" i="3"/>
  <c r="P41" i="3"/>
  <c r="M41" i="3"/>
  <c r="N41" i="3" s="1"/>
  <c r="L41" i="3"/>
  <c r="S40" i="3"/>
  <c r="T40" i="3" s="1"/>
  <c r="P40" i="3"/>
  <c r="B9" i="8" s="1"/>
  <c r="M40" i="3"/>
  <c r="R40" i="3" s="1"/>
  <c r="L40" i="3"/>
  <c r="U39" i="3"/>
  <c r="S39" i="3"/>
  <c r="T39" i="3" s="1"/>
  <c r="P39" i="3"/>
  <c r="M39" i="3"/>
  <c r="L39" i="3"/>
  <c r="U38" i="3"/>
  <c r="S38" i="3"/>
  <c r="T38" i="3" s="1"/>
  <c r="P38" i="3"/>
  <c r="M38" i="3"/>
  <c r="R38" i="3" s="1"/>
  <c r="L38" i="3"/>
  <c r="S37" i="3"/>
  <c r="T37" i="3" s="1"/>
  <c r="P37" i="3"/>
  <c r="M37" i="3"/>
  <c r="L37" i="3"/>
  <c r="S36" i="3"/>
  <c r="T36" i="3" s="1"/>
  <c r="R36" i="3"/>
  <c r="P36" i="3"/>
  <c r="M36" i="3"/>
  <c r="N36" i="3" s="1"/>
  <c r="L36" i="3"/>
  <c r="T35" i="3"/>
  <c r="S35" i="3"/>
  <c r="P35" i="3"/>
  <c r="M35" i="3"/>
  <c r="L35" i="3"/>
  <c r="S34" i="3"/>
  <c r="T34" i="3" s="1"/>
  <c r="R34" i="3"/>
  <c r="P34" i="3"/>
  <c r="M34" i="3"/>
  <c r="N34" i="3" s="1"/>
  <c r="L34" i="3"/>
  <c r="S33" i="3"/>
  <c r="T33" i="3" s="1"/>
  <c r="R33" i="3"/>
  <c r="P33" i="3"/>
  <c r="M33" i="3"/>
  <c r="N33" i="3" s="1"/>
  <c r="L33" i="3"/>
  <c r="S32" i="3"/>
  <c r="T32" i="3" s="1"/>
  <c r="P32" i="3"/>
  <c r="M32" i="3"/>
  <c r="N32" i="3" s="1"/>
  <c r="L32" i="3"/>
  <c r="S31" i="3"/>
  <c r="T31" i="3" s="1"/>
  <c r="P31" i="3"/>
  <c r="M31" i="3"/>
  <c r="L31" i="3"/>
  <c r="U30" i="3"/>
  <c r="S30" i="3"/>
  <c r="T30" i="3" s="1"/>
  <c r="P30" i="3"/>
  <c r="M30" i="3"/>
  <c r="R30" i="3" s="1"/>
  <c r="L30" i="3"/>
  <c r="U29" i="3"/>
  <c r="S29" i="3"/>
  <c r="T29" i="3" s="1"/>
  <c r="P29" i="3"/>
  <c r="M29" i="3"/>
  <c r="L29" i="3"/>
  <c r="S28" i="3"/>
  <c r="T28" i="3" s="1"/>
  <c r="R28" i="3"/>
  <c r="P28" i="3"/>
  <c r="N28" i="3"/>
  <c r="M28" i="3"/>
  <c r="L28" i="3"/>
  <c r="S27" i="3"/>
  <c r="T27" i="3" s="1"/>
  <c r="P27" i="3"/>
  <c r="M27" i="3"/>
  <c r="L27" i="3"/>
  <c r="T26" i="3"/>
  <c r="S26" i="3"/>
  <c r="P26" i="3"/>
  <c r="M26" i="3"/>
  <c r="L26" i="3"/>
  <c r="S25" i="3"/>
  <c r="T25" i="3" s="1"/>
  <c r="R25" i="3"/>
  <c r="P25" i="3"/>
  <c r="N25" i="3"/>
  <c r="M25" i="3"/>
  <c r="L25" i="3"/>
  <c r="S24" i="3"/>
  <c r="T24" i="3" s="1"/>
  <c r="P24" i="3"/>
  <c r="B10" i="8" s="1"/>
  <c r="N24" i="3"/>
  <c r="Q24" i="3" s="1"/>
  <c r="V24" i="3" s="1"/>
  <c r="M24" i="3"/>
  <c r="R24" i="3" s="1"/>
  <c r="L24" i="3"/>
  <c r="S23" i="3"/>
  <c r="T23" i="3" s="1"/>
  <c r="P23" i="3"/>
  <c r="M23" i="3"/>
  <c r="L23" i="3"/>
  <c r="S22" i="3"/>
  <c r="T22" i="3" s="1"/>
  <c r="P22" i="3"/>
  <c r="M22" i="3"/>
  <c r="R22" i="3" s="1"/>
  <c r="L22" i="3"/>
  <c r="U21" i="3"/>
  <c r="S21" i="3"/>
  <c r="T21" i="3" s="1"/>
  <c r="P21" i="3"/>
  <c r="M21" i="3"/>
  <c r="L21" i="3"/>
  <c r="U20" i="3"/>
  <c r="T20" i="3"/>
  <c r="S20" i="3"/>
  <c r="P20" i="3"/>
  <c r="M20" i="3"/>
  <c r="N20" i="3" s="1"/>
  <c r="L20" i="3"/>
  <c r="S19" i="3"/>
  <c r="T19" i="3" s="1"/>
  <c r="P19" i="3"/>
  <c r="M19" i="3"/>
  <c r="L19" i="3"/>
  <c r="T18" i="3"/>
  <c r="S18" i="3"/>
  <c r="P18" i="3"/>
  <c r="N18" i="3"/>
  <c r="Q18" i="3" s="1"/>
  <c r="M18" i="3"/>
  <c r="R18" i="3" s="1"/>
  <c r="L18" i="3"/>
  <c r="S17" i="3"/>
  <c r="T17" i="3" s="1"/>
  <c r="P17" i="3"/>
  <c r="M17" i="3"/>
  <c r="L17" i="3"/>
  <c r="S16" i="3"/>
  <c r="T16" i="3" s="1"/>
  <c r="P16" i="3"/>
  <c r="M16" i="3"/>
  <c r="R16" i="3" s="1"/>
  <c r="L16" i="3"/>
  <c r="S15" i="3"/>
  <c r="T15" i="3" s="1"/>
  <c r="P15" i="3"/>
  <c r="M15" i="3"/>
  <c r="L15" i="3"/>
  <c r="S14" i="3"/>
  <c r="T14" i="3" s="1"/>
  <c r="R14" i="3"/>
  <c r="P14" i="3"/>
  <c r="M14" i="3"/>
  <c r="N14" i="3" s="1"/>
  <c r="L14" i="3"/>
  <c r="S13" i="3"/>
  <c r="T13" i="3" s="1"/>
  <c r="P13" i="3"/>
  <c r="M13" i="3"/>
  <c r="L13" i="3"/>
  <c r="U12" i="3"/>
  <c r="S12" i="3"/>
  <c r="T12" i="3" s="1"/>
  <c r="R12" i="3"/>
  <c r="P12" i="3"/>
  <c r="M12" i="3"/>
  <c r="N12" i="3" s="1"/>
  <c r="L12" i="3"/>
  <c r="U11" i="3"/>
  <c r="S11" i="3"/>
  <c r="T11" i="3" s="1"/>
  <c r="P11" i="3"/>
  <c r="M11" i="3"/>
  <c r="L11" i="3"/>
  <c r="S10" i="3"/>
  <c r="T10" i="3" s="1"/>
  <c r="R10" i="3"/>
  <c r="P10" i="3"/>
  <c r="M10" i="3"/>
  <c r="N10" i="3" s="1"/>
  <c r="L10" i="3"/>
  <c r="S9" i="3"/>
  <c r="T9" i="3" s="1"/>
  <c r="R9" i="3"/>
  <c r="P9" i="3"/>
  <c r="N9" i="3"/>
  <c r="Q9" i="3" s="1"/>
  <c r="V9" i="3" s="1"/>
  <c r="M9" i="3"/>
  <c r="L9" i="3"/>
  <c r="S8" i="3"/>
  <c r="T8" i="3" s="1"/>
  <c r="R8" i="3"/>
  <c r="P8" i="3"/>
  <c r="M8" i="3"/>
  <c r="N8" i="3" s="1"/>
  <c r="L8" i="3"/>
  <c r="S7" i="3"/>
  <c r="T7" i="3" s="1"/>
  <c r="P7" i="3"/>
  <c r="W7" i="3" s="1"/>
  <c r="X7" i="3" s="1"/>
  <c r="M7" i="3"/>
  <c r="L7" i="3"/>
  <c r="S6" i="3"/>
  <c r="T6" i="3" s="1"/>
  <c r="P6" i="3"/>
  <c r="N6" i="3"/>
  <c r="M6" i="3"/>
  <c r="R6" i="3" s="1"/>
  <c r="L6" i="3"/>
  <c r="S5" i="3"/>
  <c r="T5" i="3" s="1"/>
  <c r="P5" i="3"/>
  <c r="M5" i="3"/>
  <c r="R5" i="3" s="1"/>
  <c r="L5" i="3"/>
  <c r="S4" i="3"/>
  <c r="T4" i="3" s="1"/>
  <c r="R4" i="3"/>
  <c r="P4" i="3"/>
  <c r="M4" i="3"/>
  <c r="N4" i="3" s="1"/>
  <c r="Q4" i="3" s="1"/>
  <c r="L4" i="3"/>
  <c r="U3" i="3"/>
  <c r="S3" i="3"/>
  <c r="T3" i="3" s="1"/>
  <c r="P3" i="3"/>
  <c r="W11" i="3" s="1"/>
  <c r="X11" i="3" s="1"/>
  <c r="M3" i="3"/>
  <c r="L3" i="3"/>
  <c r="U2" i="3"/>
  <c r="T2" i="3"/>
  <c r="S2" i="3"/>
  <c r="P2" i="3"/>
  <c r="M2" i="3"/>
  <c r="R2" i="3" s="1"/>
  <c r="L2" i="3"/>
  <c r="E8" i="2"/>
  <c r="A8" i="2"/>
  <c r="E5" i="2"/>
  <c r="C5" i="2"/>
  <c r="B20" i="8"/>
  <c r="B19" i="8"/>
  <c r="B18" i="8"/>
  <c r="B17" i="8"/>
  <c r="B27" i="8"/>
  <c r="B26" i="8"/>
  <c r="B25" i="8"/>
  <c r="G7" i="4" l="1"/>
  <c r="Q32" i="3"/>
  <c r="O32" i="3"/>
  <c r="U32" i="3" s="1"/>
  <c r="Q20" i="3"/>
  <c r="V20" i="3" s="1"/>
  <c r="O20" i="3"/>
  <c r="N40" i="3"/>
  <c r="V4" i="3"/>
  <c r="V32" i="3"/>
  <c r="N16" i="3"/>
  <c r="O24" i="3"/>
  <c r="U24" i="3" s="1"/>
  <c r="R32" i="3"/>
  <c r="N38" i="3"/>
  <c r="Q38" i="3" s="1"/>
  <c r="R20" i="3"/>
  <c r="N22" i="3"/>
  <c r="N30" i="3"/>
  <c r="F7" i="4"/>
  <c r="G5" i="4"/>
  <c r="G9" i="4"/>
  <c r="I6" i="4"/>
  <c r="G3" i="4"/>
  <c r="G6" i="4"/>
  <c r="G4" i="4"/>
  <c r="G8" i="4"/>
  <c r="F4" i="4"/>
  <c r="I2" i="4"/>
  <c r="F6" i="4"/>
  <c r="F3" i="4"/>
  <c r="C8" i="2"/>
  <c r="F5" i="4"/>
  <c r="H5" i="4" s="1"/>
  <c r="J5" i="4" s="1"/>
  <c r="I9" i="4"/>
  <c r="B58" i="8"/>
  <c r="F2" i="4"/>
  <c r="I4" i="4"/>
  <c r="B56" i="8"/>
  <c r="F9" i="4"/>
  <c r="H9" i="4" s="1"/>
  <c r="J9" i="4" s="1"/>
  <c r="B61" i="8"/>
  <c r="B54" i="8"/>
  <c r="K5" i="2"/>
  <c r="K8" i="2"/>
  <c r="B55" i="8"/>
  <c r="W5" i="3"/>
  <c r="X5" i="3" s="1"/>
  <c r="R13" i="3"/>
  <c r="N13" i="3"/>
  <c r="W19" i="3"/>
  <c r="X19" i="3" s="1"/>
  <c r="W35" i="3"/>
  <c r="X35" i="3" s="1"/>
  <c r="W36" i="3"/>
  <c r="X36" i="3" s="1"/>
  <c r="V38" i="3"/>
  <c r="A5" i="2"/>
  <c r="N2" i="3"/>
  <c r="O12" i="3"/>
  <c r="Q12" i="3"/>
  <c r="V12" i="3" s="1"/>
  <c r="R23" i="3"/>
  <c r="N23" i="3"/>
  <c r="N5" i="3"/>
  <c r="O9" i="3"/>
  <c r="U9" i="3" s="1"/>
  <c r="W9" i="3"/>
  <c r="X9" i="3" s="1"/>
  <c r="W10" i="3"/>
  <c r="X10" i="3" s="1"/>
  <c r="W12" i="3"/>
  <c r="X12" i="3" s="1"/>
  <c r="N26" i="3"/>
  <c r="R26" i="3"/>
  <c r="Q28" i="3"/>
  <c r="V28" i="3" s="1"/>
  <c r="O28" i="3"/>
  <c r="U28" i="3" s="1"/>
  <c r="W34" i="3"/>
  <c r="X34" i="3" s="1"/>
  <c r="W3" i="3"/>
  <c r="X3" i="3" s="1"/>
  <c r="W33" i="3"/>
  <c r="X33" i="3" s="1"/>
  <c r="W32" i="3"/>
  <c r="X32" i="3" s="1"/>
  <c r="W27" i="3"/>
  <c r="X27" i="3" s="1"/>
  <c r="W6" i="3"/>
  <c r="X6" i="3" s="1"/>
  <c r="O22" i="3"/>
  <c r="U22" i="3" s="1"/>
  <c r="Q22" i="3"/>
  <c r="V22" i="3" s="1"/>
  <c r="O25" i="3"/>
  <c r="U25" i="3" s="1"/>
  <c r="Q25" i="3"/>
  <c r="V25" i="3" s="1"/>
  <c r="Q8" i="3"/>
  <c r="V8" i="3" s="1"/>
  <c r="O8" i="3"/>
  <c r="U8" i="3" s="1"/>
  <c r="W8" i="3"/>
  <c r="X8" i="3" s="1"/>
  <c r="W15" i="3"/>
  <c r="X15" i="3" s="1"/>
  <c r="W16" i="3"/>
  <c r="X16" i="3" s="1"/>
  <c r="V18" i="3"/>
  <c r="R21" i="3"/>
  <c r="N21" i="3"/>
  <c r="R31" i="3"/>
  <c r="N31" i="3"/>
  <c r="B11" i="8"/>
  <c r="W4" i="3"/>
  <c r="X4" i="3" s="1"/>
  <c r="O6" i="3"/>
  <c r="U6" i="3" s="1"/>
  <c r="Q6" i="3"/>
  <c r="V6" i="3" s="1"/>
  <c r="B4" i="8"/>
  <c r="W26" i="3"/>
  <c r="X26" i="3" s="1"/>
  <c r="O30" i="3"/>
  <c r="Q30" i="3"/>
  <c r="V30" i="3" s="1"/>
  <c r="Q33" i="3"/>
  <c r="V33" i="3" s="1"/>
  <c r="O33" i="3"/>
  <c r="U33" i="3" s="1"/>
  <c r="W28" i="3"/>
  <c r="X28" i="3" s="1"/>
  <c r="W31" i="3"/>
  <c r="X31" i="3" s="1"/>
  <c r="B8" i="8"/>
  <c r="W42" i="3"/>
  <c r="X42" i="3" s="1"/>
  <c r="B7" i="8"/>
  <c r="Q44" i="3"/>
  <c r="V44" i="3" s="1"/>
  <c r="O44" i="3"/>
  <c r="U44" i="3" s="1"/>
  <c r="W46" i="3"/>
  <c r="X46" i="3" s="1"/>
  <c r="B5" i="8"/>
  <c r="W37" i="3"/>
  <c r="X37" i="3" s="1"/>
  <c r="W21" i="3"/>
  <c r="X21" i="3" s="1"/>
  <c r="W20" i="3"/>
  <c r="X20" i="3" s="1"/>
  <c r="W17" i="3"/>
  <c r="X17" i="3" s="1"/>
  <c r="W45" i="3"/>
  <c r="X45" i="3" s="1"/>
  <c r="W29" i="3"/>
  <c r="X29" i="3" s="1"/>
  <c r="W2" i="3"/>
  <c r="X2" i="3" s="1"/>
  <c r="B49" i="8"/>
  <c r="B48" i="8"/>
  <c r="B47" i="8"/>
  <c r="R7" i="3"/>
  <c r="N7" i="3"/>
  <c r="Q14" i="3"/>
  <c r="V14" i="3" s="1"/>
  <c r="O14" i="3"/>
  <c r="U14" i="3" s="1"/>
  <c r="R15" i="3"/>
  <c r="N15" i="3"/>
  <c r="W23" i="3"/>
  <c r="X23" i="3" s="1"/>
  <c r="W24" i="3"/>
  <c r="X24" i="3" s="1"/>
  <c r="W25" i="3"/>
  <c r="X25" i="3" s="1"/>
  <c r="R37" i="3"/>
  <c r="N37" i="3"/>
  <c r="O38" i="3"/>
  <c r="R39" i="3"/>
  <c r="N39" i="3"/>
  <c r="O41" i="3"/>
  <c r="U41" i="3" s="1"/>
  <c r="Q41" i="3"/>
  <c r="V41" i="3" s="1"/>
  <c r="W41" i="3"/>
  <c r="X41" i="3" s="1"/>
  <c r="W43" i="3"/>
  <c r="X43" i="3" s="1"/>
  <c r="W44" i="3"/>
  <c r="X44" i="3" s="1"/>
  <c r="I5" i="2"/>
  <c r="R3" i="3"/>
  <c r="N3" i="3"/>
  <c r="O4" i="3"/>
  <c r="U4" i="3" s="1"/>
  <c r="Q10" i="3"/>
  <c r="V10" i="3" s="1"/>
  <c r="O10" i="3"/>
  <c r="U10" i="3" s="1"/>
  <c r="R11" i="3"/>
  <c r="N11" i="3"/>
  <c r="W13" i="3"/>
  <c r="X13" i="3" s="1"/>
  <c r="B12" i="8"/>
  <c r="W14" i="3"/>
  <c r="X14" i="3" s="1"/>
  <c r="O16" i="3"/>
  <c r="U16" i="3" s="1"/>
  <c r="Q16" i="3"/>
  <c r="V16" i="3" s="1"/>
  <c r="R17" i="3"/>
  <c r="N17" i="3"/>
  <c r="O18" i="3"/>
  <c r="U18" i="3" s="1"/>
  <c r="R19" i="3"/>
  <c r="N19" i="3"/>
  <c r="R29" i="3"/>
  <c r="N29" i="3"/>
  <c r="O34" i="3"/>
  <c r="U34" i="3" s="1"/>
  <c r="Q34" i="3"/>
  <c r="V34" i="3" s="1"/>
  <c r="Q36" i="3"/>
  <c r="V36" i="3" s="1"/>
  <c r="O36" i="3"/>
  <c r="U36" i="3" s="1"/>
  <c r="W39" i="3"/>
  <c r="X39" i="3" s="1"/>
  <c r="W40" i="3"/>
  <c r="X40" i="3" s="1"/>
  <c r="V46" i="3"/>
  <c r="B3" i="8"/>
  <c r="W30" i="3"/>
  <c r="X30" i="3" s="1"/>
  <c r="R35" i="3"/>
  <c r="N35" i="3"/>
  <c r="N42" i="3"/>
  <c r="N45" i="3"/>
  <c r="B57" i="8"/>
  <c r="I5" i="4"/>
  <c r="F8" i="4"/>
  <c r="H8" i="4" s="1"/>
  <c r="J8" i="4" s="1"/>
  <c r="B60" i="8"/>
  <c r="W18" i="3"/>
  <c r="X18" i="3" s="1"/>
  <c r="W22" i="3"/>
  <c r="X22" i="3" s="1"/>
  <c r="R27" i="3"/>
  <c r="N27" i="3"/>
  <c r="W38" i="3"/>
  <c r="X38" i="3" s="1"/>
  <c r="R43" i="3"/>
  <c r="N43" i="3"/>
  <c r="H7" i="4"/>
  <c r="J7" i="4" s="1"/>
  <c r="I8" i="4"/>
  <c r="O46" i="3"/>
  <c r="U46" i="3" s="1"/>
  <c r="G2" i="4"/>
  <c r="B59" i="8"/>
  <c r="I7" i="4"/>
  <c r="B6" i="8"/>
  <c r="I3" i="4"/>
  <c r="H3" i="4" l="1"/>
  <c r="J3" i="4" s="1"/>
  <c r="H2" i="4"/>
  <c r="J2" i="4" s="1"/>
  <c r="H6" i="4"/>
  <c r="J6" i="4" s="1"/>
  <c r="G8" i="2"/>
  <c r="Q40" i="3"/>
  <c r="V40" i="3" s="1"/>
  <c r="O40" i="3"/>
  <c r="U40" i="3" s="1"/>
  <c r="H4" i="4"/>
  <c r="J4" i="4" s="1"/>
  <c r="Q45" i="3"/>
  <c r="V45" i="3" s="1"/>
  <c r="O45" i="3"/>
  <c r="U45" i="3" s="1"/>
  <c r="O26" i="3"/>
  <c r="U26" i="3" s="1"/>
  <c r="Q26" i="3"/>
  <c r="V26" i="3" s="1"/>
  <c r="O13" i="3"/>
  <c r="U13" i="3" s="1"/>
  <c r="Q13" i="3"/>
  <c r="V13" i="3" s="1"/>
  <c r="O43" i="3"/>
  <c r="U43" i="3" s="1"/>
  <c r="Q43" i="3"/>
  <c r="V43" i="3" s="1"/>
  <c r="O42" i="3"/>
  <c r="U42" i="3" s="1"/>
  <c r="Q42" i="3"/>
  <c r="V42" i="3" s="1"/>
  <c r="Q29" i="3"/>
  <c r="V29" i="3" s="1"/>
  <c r="O29" i="3"/>
  <c r="Q11" i="3"/>
  <c r="V11" i="3" s="1"/>
  <c r="O11" i="3"/>
  <c r="O37" i="3"/>
  <c r="U37" i="3" s="1"/>
  <c r="Q37" i="3"/>
  <c r="V37" i="3" s="1"/>
  <c r="O31" i="3"/>
  <c r="U31" i="3" s="1"/>
  <c r="Q31" i="3"/>
  <c r="V31" i="3" s="1"/>
  <c r="O5" i="3"/>
  <c r="U5" i="3" s="1"/>
  <c r="Q5" i="3"/>
  <c r="V5" i="3" s="1"/>
  <c r="O35" i="3"/>
  <c r="U35" i="3" s="1"/>
  <c r="Q35" i="3"/>
  <c r="V35" i="3" s="1"/>
  <c r="Q17" i="3"/>
  <c r="V17" i="3" s="1"/>
  <c r="O17" i="3"/>
  <c r="U17" i="3" s="1"/>
  <c r="Q3" i="3"/>
  <c r="V3" i="3" s="1"/>
  <c r="O3" i="3"/>
  <c r="Q39" i="3"/>
  <c r="V39" i="3" s="1"/>
  <c r="O39" i="3"/>
  <c r="O15" i="3"/>
  <c r="U15" i="3" s="1"/>
  <c r="Q15" i="3"/>
  <c r="V15" i="3" s="1"/>
  <c r="O7" i="3"/>
  <c r="U7" i="3" s="1"/>
  <c r="Q7" i="3"/>
  <c r="V7" i="3" s="1"/>
  <c r="Q23" i="3"/>
  <c r="V23" i="3" s="1"/>
  <c r="O23" i="3"/>
  <c r="U23" i="3" s="1"/>
  <c r="O2" i="3"/>
  <c r="Q2" i="3"/>
  <c r="Q27" i="3"/>
  <c r="V27" i="3" s="1"/>
  <c r="O27" i="3"/>
  <c r="U27" i="3" s="1"/>
  <c r="Q19" i="3"/>
  <c r="V19" i="3" s="1"/>
  <c r="O19" i="3"/>
  <c r="U19" i="3" s="1"/>
  <c r="B42" i="8"/>
  <c r="B40" i="8"/>
  <c r="C41" i="8"/>
  <c r="C42" i="8"/>
  <c r="C40" i="8"/>
  <c r="B41" i="8"/>
  <c r="Q21" i="3"/>
  <c r="V21" i="3" s="1"/>
  <c r="O21" i="3"/>
  <c r="I8" i="2" l="1"/>
  <c r="B32" i="8"/>
  <c r="B35" i="8"/>
  <c r="B33" i="8"/>
  <c r="B34" i="8"/>
  <c r="V2" i="3"/>
  <c r="G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Diego</author>
  </authors>
  <commentList>
    <comment ref="E1" authorId="0" shapeId="0" xr:uid="{826720C7-F065-46E4-916F-96E842244F2E}">
      <text>
        <r>
          <rPr>
            <b/>
            <sz val="9"/>
            <color indexed="81"/>
            <rFont val="Segoe UI"/>
            <charset val="1"/>
          </rPr>
          <t>Diego: mb51</t>
        </r>
        <r>
          <rPr>
            <sz val="9"/>
            <color indexed="81"/>
            <rFont val="Segoe UI"/>
            <charset val="1"/>
          </rPr>
          <t xml:space="preserve">
mb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Diego</author>
  </authors>
  <commentList>
    <comment ref="A1" authorId="0" shapeId="0" xr:uid="{57A02793-8447-41B8-802E-C30CC7DE367A}">
      <text>
        <r>
          <rPr>
            <b/>
            <sz val="9"/>
            <color indexed="81"/>
            <rFont val="Segoe UI"/>
            <charset val="1"/>
          </rPr>
          <t xml:space="preserve">Diego: me5a
</t>
        </r>
        <r>
          <rPr>
            <sz val="9"/>
            <color indexed="81"/>
            <rFont val="Segoe UI"/>
            <charset val="1"/>
          </rPr>
          <t xml:space="preserve">
sap  me5a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Diego</author>
  </authors>
  <commentList>
    <comment ref="B1" authorId="0" shapeId="0" xr:uid="{D1C9DD12-5943-4303-B555-457B9A1FC79F}">
      <text>
        <r>
          <rPr>
            <b/>
            <sz val="9"/>
            <color indexed="81"/>
            <rFont val="Segoe UI"/>
            <charset val="1"/>
          </rPr>
          <t>Diego:</t>
        </r>
        <r>
          <rPr>
            <sz val="9"/>
            <color indexed="81"/>
            <rFont val="Segoe UI"/>
            <charset val="1"/>
          </rPr>
          <t xml:space="preserve">
sap me2m</t>
        </r>
      </text>
    </comment>
  </commentList>
</comments>
</file>

<file path=xl/sharedStrings.xml><?xml version="1.0" encoding="utf-8"?>
<sst xmlns="http://schemas.openxmlformats.org/spreadsheetml/2006/main" count="1239" uniqueCount="462">
  <si>
    <t>GESTAO DE PECAS DO BRITADOR — GUIA RAPIDO DA PLANILHA</t>
  </si>
  <si>
    <t>ABA</t>
  </si>
  <si>
    <t>O QUE FAZ</t>
  </si>
  <si>
    <t>Dashboard</t>
  </si>
  <si>
    <t>Visao executiva: cards de indicadores e 6 graficos (valor por categoria, status de RCs, status de pedidos, cobertura de estoque, curva ABC e estoque parado). Tudo calculado por formula.</t>
  </si>
  <si>
    <t>Materiais</t>
  </si>
  <si>
    <t>Cadastro mestre das pecas do britador (45 itens de exemplo). Colunas de entrada em preto (codigo, nome, custo, saldo, min/max, localizacao, criticidade) e colunas calculadas (cobertura, giro, status, risco de ruptura, curva ABC).</t>
  </si>
  <si>
    <t>Fornecedores</t>
  </si>
  <si>
    <t>Cadastro dos fornecedores com lead time e indicadores de performance (OTIF, atrasos), calculados a partir da aba Pedidos.</t>
  </si>
  <si>
    <t>Movimentacoes</t>
  </si>
  <si>
    <t>Historico de entradas e saidas de estoque (6 meses de exemplo). Alimenta o consumo medio e o giro de estoque em Materiais.</t>
  </si>
  <si>
    <t>Requisicoes</t>
  </si>
  <si>
    <t>Controle de RCs (requisicoes de compra) com status (Pendente, Aguardando Aprovacao, Em Cotacao, Convertida).</t>
  </si>
  <si>
    <t>Pedidos</t>
  </si>
  <si>
    <t>Controle de OCs (pedidos de compra) com datas previstas/recebidas, status e atraso calculados automaticamente.</t>
  </si>
  <si>
    <t>Indicadores</t>
  </si>
  <si>
    <t>Aba de apoio: agrega os dados das demais abas nas tabelas que alimentam os graficos do Dashboard. Nao precisa editar.</t>
  </si>
  <si>
    <t>COMO ATUALIZAR OS DADOS</t>
  </si>
  <si>
    <t>1.</t>
  </si>
  <si>
    <t>Adicione novas pecas na aba Materiais (proxima linha livre), preenchendo as colunas A ate K. As colunas L em diante sao formulas — copie-as da ultima linha para baixo.</t>
  </si>
  <si>
    <t>2.</t>
  </si>
  <si>
    <t>Registre entradas e saidas de estoque na aba Movimentacoes.</t>
  </si>
  <si>
    <t>3.</t>
  </si>
  <si>
    <t>Registre novas requisicoes e pedidos nas abas Requisicoes e Pedidos.</t>
  </si>
  <si>
    <t>4.</t>
  </si>
  <si>
    <t>O Dashboard e a aba Indicadores recalculam automaticamente — nao exigem nenhuma acao manual.</t>
  </si>
  <si>
    <t>OBSERVACAO</t>
  </si>
  <si>
    <t>Os dados de materiais, fornecedores, movimentacoes, requisicoes e pedidos sao EXEMPLOS para demonstrar a estrutura e os indicadores. Substitua pelos dados reais da mineradora.</t>
  </si>
  <si>
    <t>DASHBOARD EXECUTIVO — GESTAO DE PECAS DO BRITADOR</t>
  </si>
  <si>
    <t>Mineradora — Manutencao Mecanica e Eletrica  |  Atualizado automaticamente ao abrir a planilha</t>
  </si>
  <si>
    <t>VALOR EM ESTOQUE</t>
  </si>
  <si>
    <t>TOTAL DE MATERIAIS</t>
  </si>
  <si>
    <t>MATERIAIS CRITICOS</t>
  </si>
  <si>
    <t>RISCO DE RUPTURA (ALTO)</t>
  </si>
  <si>
    <t>ESTOQUE PARADO (R$)</t>
  </si>
  <si>
    <t>PEDIDOS ATRASADOS</t>
  </si>
  <si>
    <t>RC's PENDENTES</t>
  </si>
  <si>
    <t>PEDIDOS EM ABERTO</t>
  </si>
  <si>
    <t>LEAD TIME MEDIO</t>
  </si>
  <si>
    <t>GIRO MEDIO DE ESTOQUE</t>
  </si>
  <si>
    <t>% OTIF MEDIO</t>
  </si>
  <si>
    <t>COMPRAS EM ABERTO (R$)</t>
  </si>
  <si>
    <t>Fonte: abas Materiais, Fornecedores, Movimentacoes, Requisicoes e Pedidos. Indicadores calculados por formula (SUMIFS/COUNTIFS/INDEX-MATCH) na aba Indicadores. Dados de exemplo — substitua pelos dados reais da mineradora.</t>
  </si>
  <si>
    <t>Codigo</t>
  </si>
  <si>
    <t>Nome do Material</t>
  </si>
  <si>
    <t>Categoria</t>
  </si>
  <si>
    <t>Unidade</t>
  </si>
  <si>
    <t>Fornecedor</t>
  </si>
  <si>
    <t>Custo Unitario (R$)</t>
  </si>
  <si>
    <t>Saldo Atual</t>
  </si>
  <si>
    <t>Estoque Minimo</t>
  </si>
  <si>
    <t>Estoque Maximo</t>
  </si>
  <si>
    <t>Localizacao</t>
  </si>
  <si>
    <t>Criticidade</t>
  </si>
  <si>
    <t>Lead Time (dias)</t>
  </si>
  <si>
    <t>Consumo Medio Mensal</t>
  </si>
  <si>
    <t>Consumo Medio Diario</t>
  </si>
  <si>
    <t>Ponto de Reposicao</t>
  </si>
  <si>
    <t>Valor em Estoque (R$)</t>
  </si>
  <si>
    <t>Cobertura (dias)</t>
  </si>
  <si>
    <t>Giro Anual</t>
  </si>
  <si>
    <t>Ultima Movimentacao</t>
  </si>
  <si>
    <t>Dias sem Movimentacao</t>
  </si>
  <si>
    <t>Status Estoque</t>
  </si>
  <si>
    <t>Risco de Ruptura</t>
  </si>
  <si>
    <t>Valor Acumulado %</t>
  </si>
  <si>
    <t>Classe ABC</t>
  </si>
  <si>
    <t>100002001</t>
  </si>
  <si>
    <t>Mandibula Fixa do Britador</t>
  </si>
  <si>
    <t>Estrutural</t>
  </si>
  <si>
    <t>UN</t>
  </si>
  <si>
    <t>F002</t>
  </si>
  <si>
    <t>A-01-01</t>
  </si>
  <si>
    <t>Critico</t>
  </si>
  <si>
    <t>100002002</t>
  </si>
  <si>
    <t>Mandibula Movel do Britador</t>
  </si>
  <si>
    <t>A-01-02</t>
  </si>
  <si>
    <t>100002003</t>
  </si>
  <si>
    <t>Revestimento Concavo</t>
  </si>
  <si>
    <t>Revestimentos</t>
  </si>
  <si>
    <t>A-02-01</t>
  </si>
  <si>
    <t>100002004</t>
  </si>
  <si>
    <t>Revestimento Manto</t>
  </si>
  <si>
    <t>A-02-02</t>
  </si>
  <si>
    <t>100002005</t>
  </si>
  <si>
    <t>Chapa Blindada Lateral</t>
  </si>
  <si>
    <t>F003</t>
  </si>
  <si>
    <t>A-02-03</t>
  </si>
  <si>
    <t>Nao Critico</t>
  </si>
  <si>
    <t>100002006</t>
  </si>
  <si>
    <t>Chapa de Desgaste</t>
  </si>
  <si>
    <t>A-02-04</t>
  </si>
  <si>
    <t>100002007</t>
  </si>
  <si>
    <t>Placa de Impacto</t>
  </si>
  <si>
    <t>A-02-05</t>
  </si>
  <si>
    <t>100002008</t>
  </si>
  <si>
    <t>Eixo Excentrico</t>
  </si>
  <si>
    <t>A-01-03</t>
  </si>
  <si>
    <t>100002009</t>
  </si>
  <si>
    <t>Bucha de Bronze</t>
  </si>
  <si>
    <t>F007</t>
  </si>
  <si>
    <t>A-01-04</t>
  </si>
  <si>
    <t>100002010</t>
  </si>
  <si>
    <t>Bucha Excentrica</t>
  </si>
  <si>
    <t>A-01-05</t>
  </si>
  <si>
    <t>100002011</t>
  </si>
  <si>
    <t>Volante de Inercia</t>
  </si>
  <si>
    <t>A-01-06</t>
  </si>
  <si>
    <t>100002012</t>
  </si>
  <si>
    <t>Grelha Vibratoria</t>
  </si>
  <si>
    <t>A-01-07</t>
  </si>
  <si>
    <t>100002356</t>
  </si>
  <si>
    <t>Rolamento 6205</t>
  </si>
  <si>
    <t>Rolamentos</t>
  </si>
  <si>
    <t>A-05-02</t>
  </si>
  <si>
    <t>100002357</t>
  </si>
  <si>
    <t>Rolamento 6308</t>
  </si>
  <si>
    <t>A-05-03</t>
  </si>
  <si>
    <t>100002358</t>
  </si>
  <si>
    <t>Rolamento de Rolos Conicos 32218</t>
  </si>
  <si>
    <t>F001</t>
  </si>
  <si>
    <t>A-05-04</t>
  </si>
  <si>
    <t>100002359</t>
  </si>
  <si>
    <t>Rolamento Esferico 22318</t>
  </si>
  <si>
    <t>A-05-05</t>
  </si>
  <si>
    <t>100002360</t>
  </si>
  <si>
    <t>Rolamento Autocompensador 22222</t>
  </si>
  <si>
    <t>A-05-06</t>
  </si>
  <si>
    <t>100002361</t>
  </si>
  <si>
    <t>Retentor de Vedacao</t>
  </si>
  <si>
    <t>A-05-07</t>
  </si>
  <si>
    <t>100003001</t>
  </si>
  <si>
    <t>Correia Transportadora B-1200</t>
  </si>
  <si>
    <t>Correias e Polias</t>
  </si>
  <si>
    <t>M</t>
  </si>
  <si>
    <t>F005</t>
  </si>
  <si>
    <t>B-03-01</t>
  </si>
  <si>
    <t>100003002</t>
  </si>
  <si>
    <t>Correia em V A-75</t>
  </si>
  <si>
    <t>B-03-02</t>
  </si>
  <si>
    <t>100003003</t>
  </si>
  <si>
    <t>Polia Motora</t>
  </si>
  <si>
    <t>F004</t>
  </si>
  <si>
    <t>B-03-03</t>
  </si>
  <si>
    <t>100003004</t>
  </si>
  <si>
    <t>Polia Movida</t>
  </si>
  <si>
    <t>B-03-04</t>
  </si>
  <si>
    <t>100004001</t>
  </si>
  <si>
    <t>Mola de Compressao</t>
  </si>
  <si>
    <t>Molas e Amortecedores</t>
  </si>
  <si>
    <t>B-04-01</t>
  </si>
  <si>
    <t>100004002</t>
  </si>
  <si>
    <t>Amortecedor de Impacto</t>
  </si>
  <si>
    <t>B-04-02</t>
  </si>
  <si>
    <t>100005001</t>
  </si>
  <si>
    <t>Motor Eletrico 150cv</t>
  </si>
  <si>
    <t>Eletrico</t>
  </si>
  <si>
    <t>C-01-01</t>
  </si>
  <si>
    <t>100005002</t>
  </si>
  <si>
    <t>Motor Eletrico 75cv</t>
  </si>
  <si>
    <t>C-01-02</t>
  </si>
  <si>
    <t>100005003</t>
  </si>
  <si>
    <t>Painel de Comando</t>
  </si>
  <si>
    <t>C-01-03</t>
  </si>
  <si>
    <t>100005004</t>
  </si>
  <si>
    <t>Sensor de Vibracao</t>
  </si>
  <si>
    <t>C-01-04</t>
  </si>
  <si>
    <t>100005005</t>
  </si>
  <si>
    <t>Sensor de Temperatura</t>
  </si>
  <si>
    <t>C-01-05</t>
  </si>
  <si>
    <t>100005006</t>
  </si>
  <si>
    <t>Cabo Eletrico 4x10mm</t>
  </si>
  <si>
    <t>C-01-06</t>
  </si>
  <si>
    <t>100005007</t>
  </si>
  <si>
    <t>Contator Tripolar</t>
  </si>
  <si>
    <t>C-01-07</t>
  </si>
  <si>
    <t>100006001</t>
  </si>
  <si>
    <t>Cilindro Hidraulico de Ajuste</t>
  </si>
  <si>
    <t>Hidraulico</t>
  </si>
  <si>
    <t>F006</t>
  </si>
  <si>
    <t>C-02-01</t>
  </si>
  <si>
    <t>100006002</t>
  </si>
  <si>
    <t>Bomba Hidraulica</t>
  </si>
  <si>
    <t>C-02-02</t>
  </si>
  <si>
    <t>100006003</t>
  </si>
  <si>
    <t>Mangueira Hidraulica 1 polegada</t>
  </si>
  <si>
    <t>C-02-03</t>
  </si>
  <si>
    <t>100006004</t>
  </si>
  <si>
    <t>Valvula Direcional</t>
  </si>
  <si>
    <t>C-02-04</t>
  </si>
  <si>
    <t>100007001</t>
  </si>
  <si>
    <t>Filtro Hidraulico</t>
  </si>
  <si>
    <t>Filtros</t>
  </si>
  <si>
    <t>C-03-01</t>
  </si>
  <si>
    <t>100007002</t>
  </si>
  <si>
    <t>Filtro de Oleo Lubrificante</t>
  </si>
  <si>
    <t>C-03-02</t>
  </si>
  <si>
    <t>100007003</t>
  </si>
  <si>
    <t>Filtro de Ar</t>
  </si>
  <si>
    <t>C-03-03</t>
  </si>
  <si>
    <t>100008001</t>
  </si>
  <si>
    <t>Oleo Lubrificante ISO 220</t>
  </si>
  <si>
    <t>Lubrificacao</t>
  </si>
  <si>
    <t>L</t>
  </si>
  <si>
    <t>F008</t>
  </si>
  <si>
    <t>D-01-01</t>
  </si>
  <si>
    <t>100008002</t>
  </si>
  <si>
    <t>Graxa Industrial EP2</t>
  </si>
  <si>
    <t>KG</t>
  </si>
  <si>
    <t>D-01-02</t>
  </si>
  <si>
    <t>100009001</t>
  </si>
  <si>
    <t>Parafuso Allen M24</t>
  </si>
  <si>
    <t>Fixacao</t>
  </si>
  <si>
    <t>D-02-01</t>
  </si>
  <si>
    <t>100009002</t>
  </si>
  <si>
    <t>Porca Sextavada M24</t>
  </si>
  <si>
    <t>D-02-02</t>
  </si>
  <si>
    <t>100009003</t>
  </si>
  <si>
    <t>Arruela de Pressao M24</t>
  </si>
  <si>
    <t>D-02-03</t>
  </si>
  <si>
    <t>100009004</t>
  </si>
  <si>
    <t>Chaveta de Fixacao</t>
  </si>
  <si>
    <t>D-02-04</t>
  </si>
  <si>
    <t>100009005</t>
  </si>
  <si>
    <t>Anel de Vedacao O-ring</t>
  </si>
  <si>
    <t>D-02-05</t>
  </si>
  <si>
    <t>Nome do Fornecedor</t>
  </si>
  <si>
    <t>Contato</t>
  </si>
  <si>
    <t>Lead Time Medio (dias)</t>
  </si>
  <si>
    <t>Total de Pedidos</t>
  </si>
  <si>
    <t>Pedidos Recebidos</t>
  </si>
  <si>
    <t>Entregas no Prazo</t>
  </si>
  <si>
    <t>% OTIF</t>
  </si>
  <si>
    <t>Pedidos Atrasados (Abertos)</t>
  </si>
  <si>
    <t>Performance</t>
  </si>
  <si>
    <t>SKF do Brasil Ltda</t>
  </si>
  <si>
    <t>(11) 4002-8888</t>
  </si>
  <si>
    <t>Metso Outotec Brasil</t>
  </si>
  <si>
    <t>(31) 3298-1000</t>
  </si>
  <si>
    <t>Sandvik Mining Brasil</t>
  </si>
  <si>
    <t>(11) 5185-4000</t>
  </si>
  <si>
    <t>WEG Equipamentos S.A.</t>
  </si>
  <si>
    <t>(47) 3276-4000</t>
  </si>
  <si>
    <t>Gates Correias Industriais</t>
  </si>
  <si>
    <t>(19) 3876-5500</t>
  </si>
  <si>
    <t>Bosch Rexroth Brasil</t>
  </si>
  <si>
    <t>(11) 2465-8500</t>
  </si>
  <si>
    <t>Rolamentos ABC Ltda</t>
  </si>
  <si>
    <t>(11) 3311-2200</t>
  </si>
  <si>
    <t>Ferragens Industrial XYZ</t>
  </si>
  <si>
    <t>(31) 3221-7700</t>
  </si>
  <si>
    <t>Data</t>
  </si>
  <si>
    <t>Codigo Material</t>
  </si>
  <si>
    <t>Quantidade</t>
  </si>
  <si>
    <t>Numero RC</t>
  </si>
  <si>
    <t>Status</t>
  </si>
  <si>
    <t>Dias em Aberto</t>
  </si>
  <si>
    <t>RC450002300</t>
  </si>
  <si>
    <t>Convertida</t>
  </si>
  <si>
    <t>RC450002301</t>
  </si>
  <si>
    <t>RC450002302</t>
  </si>
  <si>
    <t>Em Cotacao</t>
  </si>
  <si>
    <t>RC450002303</t>
  </si>
  <si>
    <t>Aguardando Aprovacao</t>
  </si>
  <si>
    <t>RC450002304</t>
  </si>
  <si>
    <t>RC450002305</t>
  </si>
  <si>
    <t>Pendente</t>
  </si>
  <si>
    <t>RC450002306</t>
  </si>
  <si>
    <t>RC450002307</t>
  </si>
  <si>
    <t>RC450002308</t>
  </si>
  <si>
    <t>RC450002309</t>
  </si>
  <si>
    <t>RC450002310</t>
  </si>
  <si>
    <t>RC450002311</t>
  </si>
  <si>
    <t>RC450002312</t>
  </si>
  <si>
    <t>RC450002313</t>
  </si>
  <si>
    <t>RC450002314</t>
  </si>
  <si>
    <t>RC450002315</t>
  </si>
  <si>
    <t>RC450002316</t>
  </si>
  <si>
    <t>RC450002317</t>
  </si>
  <si>
    <t>RC450002318</t>
  </si>
  <si>
    <t>RC450002319</t>
  </si>
  <si>
    <t>RC450002320</t>
  </si>
  <si>
    <t>RC450002321</t>
  </si>
  <si>
    <t>RC450002322</t>
  </si>
  <si>
    <t>RC450002323</t>
  </si>
  <si>
    <t>RC450002324</t>
  </si>
  <si>
    <t>RC450002325</t>
  </si>
  <si>
    <t>RC450002326</t>
  </si>
  <si>
    <t>RC450002327</t>
  </si>
  <si>
    <t>RC450002328</t>
  </si>
  <si>
    <t>RC450002329</t>
  </si>
  <si>
    <t>Numero OC</t>
  </si>
  <si>
    <t>Data Emissao</t>
  </si>
  <si>
    <t>Fornecedor (Cod)</t>
  </si>
  <si>
    <t>Valor Unitario (R$)</t>
  </si>
  <si>
    <t>Valor Total (R$)</t>
  </si>
  <si>
    <t>Data Prevista</t>
  </si>
  <si>
    <t>Data Recebimento</t>
  </si>
  <si>
    <t>Situacao Entrega</t>
  </si>
  <si>
    <t>Dias de Atraso</t>
  </si>
  <si>
    <t>457000</t>
  </si>
  <si>
    <t>457001</t>
  </si>
  <si>
    <t>457002</t>
  </si>
  <si>
    <t>457003</t>
  </si>
  <si>
    <t>457004</t>
  </si>
  <si>
    <t>457005</t>
  </si>
  <si>
    <t>457006</t>
  </si>
  <si>
    <t>457007</t>
  </si>
  <si>
    <t>457008</t>
  </si>
  <si>
    <t>457009</t>
  </si>
  <si>
    <t>457010</t>
  </si>
  <si>
    <t>457011</t>
  </si>
  <si>
    <t>457012</t>
  </si>
  <si>
    <t>457013</t>
  </si>
  <si>
    <t>457014</t>
  </si>
  <si>
    <t>457015</t>
  </si>
  <si>
    <t>457016</t>
  </si>
  <si>
    <t>457017</t>
  </si>
  <si>
    <t>457018</t>
  </si>
  <si>
    <t>457019</t>
  </si>
  <si>
    <t>457020</t>
  </si>
  <si>
    <t>457021</t>
  </si>
  <si>
    <t>457022</t>
  </si>
  <si>
    <t>457023</t>
  </si>
  <si>
    <t>457024</t>
  </si>
  <si>
    <t>457025</t>
  </si>
  <si>
    <t>457026</t>
  </si>
  <si>
    <t>457027</t>
  </si>
  <si>
    <t>457028</t>
  </si>
  <si>
    <t>457029</t>
  </si>
  <si>
    <t>1. VALOR EM ESTOQUE POR CATEGORIA</t>
  </si>
  <si>
    <t>Valor (R$)</t>
  </si>
  <si>
    <t>2. STATUS DAS REQUISICOES (RC)</t>
  </si>
  <si>
    <t>3. STATUS DOS PEDIDOS (OC)</t>
  </si>
  <si>
    <t>Em Transito</t>
  </si>
  <si>
    <t>Atrasado</t>
  </si>
  <si>
    <t>Recebido</t>
  </si>
  <si>
    <t>4. COBERTURA DE ESTOQUE (FAIXAS)</t>
  </si>
  <si>
    <t>Faixa</t>
  </si>
  <si>
    <t>Qtde Materiais</t>
  </si>
  <si>
    <t>Menos de 7 dias</t>
  </si>
  <si>
    <t>De 7 a 30 dias</t>
  </si>
  <si>
    <t>De 30 a 90 dias</t>
  </si>
  <si>
    <t>Mais de 90 dias</t>
  </si>
  <si>
    <t>5. CURVA ABC</t>
  </si>
  <si>
    <t>Classe</t>
  </si>
  <si>
    <t>A</t>
  </si>
  <si>
    <t>B</t>
  </si>
  <si>
    <t>C</t>
  </si>
  <si>
    <t>6. ESTOQUE PARADO POR FAIXA DE DIAS</t>
  </si>
  <si>
    <t>Valor Parado (R$)</t>
  </si>
  <si>
    <t>90 a 180 dias</t>
  </si>
  <si>
    <t>180 a 365 dias</t>
  </si>
  <si>
    <t>Mais de 365 dias</t>
  </si>
  <si>
    <t>7. PEDIDOS ATRASADOS POR FORNECEDOR</t>
  </si>
  <si>
    <t>Pedidos Atrasados</t>
  </si>
  <si>
    <t>Documento Material</t>
  </si>
  <si>
    <t>Tipo Movimento</t>
  </si>
  <si>
    <t>Material</t>
  </si>
  <si>
    <t>Descricao Material</t>
  </si>
  <si>
    <t>Centro</t>
  </si>
  <si>
    <t>Deposito</t>
  </si>
  <si>
    <t>UM</t>
  </si>
  <si>
    <t>Valor Unitario</t>
  </si>
  <si>
    <t>Valor Total</t>
  </si>
  <si>
    <t>Referencia</t>
  </si>
  <si>
    <t>1000</t>
  </si>
  <si>
    <t>ALM1</t>
  </si>
  <si>
    <t>Pedido 450001000</t>
  </si>
  <si>
    <t>OS 70001000</t>
  </si>
  <si>
    <t>Pedido 450001001</t>
  </si>
  <si>
    <t>OS 70001001</t>
  </si>
  <si>
    <t>Pedido 450001002</t>
  </si>
  <si>
    <t>OS 70001002</t>
  </si>
  <si>
    <t>Pedido 450001003</t>
  </si>
  <si>
    <t>OS 70001003</t>
  </si>
  <si>
    <t>Pedido 450001004</t>
  </si>
  <si>
    <t>OS 70001004</t>
  </si>
  <si>
    <t>Pedido 450001005</t>
  </si>
  <si>
    <t>OS 70001005</t>
  </si>
  <si>
    <t>Pedido 450001006</t>
  </si>
  <si>
    <t>OS 70001006</t>
  </si>
  <si>
    <t>Pedido 450001007</t>
  </si>
  <si>
    <t>OS 70001007</t>
  </si>
  <si>
    <t>Pedido 450001008</t>
  </si>
  <si>
    <t>OS 70001008</t>
  </si>
  <si>
    <t>Pedido 450001009</t>
  </si>
  <si>
    <t>OS 70001009</t>
  </si>
  <si>
    <t>Pedido 450001010</t>
  </si>
  <si>
    <t>OS 70001010</t>
  </si>
  <si>
    <t>Pedido 450001011</t>
  </si>
  <si>
    <t>OS 70001011</t>
  </si>
  <si>
    <t>Pedido 450001012</t>
  </si>
  <si>
    <t>OS 70001012</t>
  </si>
  <si>
    <t>Pedido 450001013</t>
  </si>
  <si>
    <t>OS 70001013</t>
  </si>
  <si>
    <t>Pedido 450001014</t>
  </si>
  <si>
    <t>OS 70001014</t>
  </si>
  <si>
    <t>Pedido 450001015</t>
  </si>
  <si>
    <t>OS 70001015</t>
  </si>
  <si>
    <t>Pedido 450001016</t>
  </si>
  <si>
    <t>OS 70001016</t>
  </si>
  <si>
    <t>Pedido 450001017</t>
  </si>
  <si>
    <t>OS 70001017</t>
  </si>
  <si>
    <t>Pedido 450001018</t>
  </si>
  <si>
    <t>OS 70001018</t>
  </si>
  <si>
    <t>Pedido 450001019</t>
  </si>
  <si>
    <t>OS 70001019</t>
  </si>
  <si>
    <t>Pedido 450001020</t>
  </si>
  <si>
    <t>OS 70001020</t>
  </si>
  <si>
    <t>Pedido 450001021</t>
  </si>
  <si>
    <t>OS 70001021</t>
  </si>
  <si>
    <t>Pedido 450001022</t>
  </si>
  <si>
    <t>OS 70001022</t>
  </si>
  <si>
    <t>Pedido 450001023</t>
  </si>
  <si>
    <t>OS 70001023</t>
  </si>
  <si>
    <t>Pedido 450001024</t>
  </si>
  <si>
    <t>OS 70001024</t>
  </si>
  <si>
    <t>Pedido 450001025</t>
  </si>
  <si>
    <t>OS 70001025</t>
  </si>
  <si>
    <t>Pedido 450001026</t>
  </si>
  <si>
    <t>OS 70001026</t>
  </si>
  <si>
    <t>Pedido 450001027</t>
  </si>
  <si>
    <t>OS 70001027</t>
  </si>
  <si>
    <t>Pedido 450001028</t>
  </si>
  <si>
    <t>OS 70001028</t>
  </si>
  <si>
    <t>Pedido 450001029</t>
  </si>
  <si>
    <t>OS 70001029</t>
  </si>
  <si>
    <t>Pedido 450001030</t>
  </si>
  <si>
    <t>OS 70001030</t>
  </si>
  <si>
    <t>Pedido 450001031</t>
  </si>
  <si>
    <t>OS 70001031</t>
  </si>
  <si>
    <t>Pedido 450001032</t>
  </si>
  <si>
    <t>OS 70001032</t>
  </si>
  <si>
    <t>Pedido 450001033</t>
  </si>
  <si>
    <t>OS 70001033</t>
  </si>
  <si>
    <t>Pedido 450001034</t>
  </si>
  <si>
    <t>OS 70001034</t>
  </si>
  <si>
    <t>Pedido 450001035</t>
  </si>
  <si>
    <t>OS 70001035</t>
  </si>
  <si>
    <t>Pedido 450001036</t>
  </si>
  <si>
    <t>OS 70001036</t>
  </si>
  <si>
    <t>Pedido 450001037</t>
  </si>
  <si>
    <t>OS 70001037</t>
  </si>
  <si>
    <t>Pedido 450001038</t>
  </si>
  <si>
    <t>OS 70001038</t>
  </si>
  <si>
    <t>Pedido 450001039</t>
  </si>
  <si>
    <t>OS 70001039</t>
  </si>
  <si>
    <t>Pedido 450001040</t>
  </si>
  <si>
    <t>OS 70001040</t>
  </si>
  <si>
    <t>Pedido 450001041</t>
  </si>
  <si>
    <t>OS 70001041</t>
  </si>
  <si>
    <t>Pedido 450001042</t>
  </si>
  <si>
    <t>OS 70001042</t>
  </si>
  <si>
    <t>Pedido 450001043</t>
  </si>
  <si>
    <t>OS 70001043</t>
  </si>
  <si>
    <t>Pedido 450001044</t>
  </si>
  <si>
    <t>OS 70001044</t>
  </si>
  <si>
    <t>Rótulos de Linha</t>
  </si>
  <si>
    <t>Total Geral</t>
  </si>
  <si>
    <t>Contagem de Numero OC</t>
  </si>
  <si>
    <t>Contagem de Numero 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</si>
</sst>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 &quot;#,##0"/>
    <numFmt numFmtId="165" formatCode="0.0%"/>
    <numFmt numFmtId="166" formatCode="&quot;R$ &quot;#,##0.00"/>
    <numFmt numFmtId="167" formatCode="yyyy\-mm\-dd"/>
  </numFmts>
  <fonts count="14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b/>
      <sz val="10"/>
      <name val="Calibri"/>
      <charset val="1"/>
    </font>
    <font>
      <sz val="10"/>
      <name val="Calibri"/>
      <charset val="1"/>
    </font>
    <font>
      <b/>
      <sz val="11"/>
      <name val="Calibri"/>
      <charset val="1"/>
    </font>
    <font>
      <b/>
      <sz val="20"/>
      <color rgb="FFFFFFFF"/>
      <name val="Calibri"/>
      <charset val="1"/>
    </font>
    <font>
      <i/>
      <sz val="10"/>
      <color rgb="FFFFFFFF"/>
      <name val="Calibri"/>
      <charset val="1"/>
    </font>
    <font>
      <b/>
      <sz val="9"/>
      <color rgb="FFFFFFFF"/>
      <name val="Calibri"/>
      <charset val="1"/>
    </font>
    <font>
      <i/>
      <sz val="8"/>
      <color rgb="FF808080"/>
      <name val="Calibri"/>
      <charset val="1"/>
    </font>
    <font>
      <b/>
      <sz val="11"/>
      <color rgb="FFFFFFFF"/>
      <name val="Calibri"/>
      <charset val="1"/>
    </font>
    <font>
      <b/>
      <sz val="12"/>
      <color rgb="FFFFFFFF"/>
      <name val="Calibri"/>
      <charset val="1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11"/>
      <color theme="4" tint="-0.249977111117893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2E5395"/>
      </patternFill>
    </fill>
    <fill>
      <patternFill patternType="solid">
        <fgColor rgb="FF2E5395"/>
        <bgColor rgb="FF1F3864"/>
      </patternFill>
    </fill>
    <fill>
      <patternFill patternType="solid">
        <fgColor rgb="FFC55A11"/>
        <bgColor rgb="FFC0504D"/>
      </patternFill>
    </fill>
    <fill>
      <patternFill patternType="solid">
        <fgColor rgb="FF9C0006"/>
        <bgColor rgb="FF800000"/>
      </patternFill>
    </fill>
    <fill>
      <patternFill patternType="solid">
        <fgColor rgb="FFBF8F00"/>
        <bgColor rgb="FF808000"/>
      </patternFill>
    </fill>
    <fill>
      <patternFill patternType="solid">
        <fgColor rgb="FF375623"/>
        <bgColor rgb="FF333300"/>
      </patternFill>
    </fill>
    <fill>
      <patternFill patternType="solid">
        <fgColor rgb="FFD9E2F3"/>
        <bgColor rgb="FFD9D9D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7" fillId="7" borderId="0" xfId="0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 indent="1"/>
    </xf>
    <xf numFmtId="0" fontId="5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vertical="center" inden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4" fillId="0" borderId="0" xfId="0" applyFont="1" applyAlignment="1">
      <alignment vertical="top" wrapText="1"/>
    </xf>
    <xf numFmtId="0" fontId="9" fillId="2" borderId="1" xfId="0" applyFont="1" applyFill="1" applyBorder="1" applyAlignment="1">
      <alignment horizontal="center" vertical="center" wrapText="1"/>
    </xf>
    <xf numFmtId="166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165" fontId="0" fillId="0" borderId="0" xfId="0" applyNumberFormat="1"/>
    <xf numFmtId="0" fontId="3" fillId="0" borderId="0" xfId="0" applyFont="1"/>
    <xf numFmtId="0" fontId="2" fillId="8" borderId="1" xfId="0" applyFont="1" applyFill="1" applyBorder="1"/>
    <xf numFmtId="164" fontId="3" fillId="0" borderId="0" xfId="0" applyNumberFormat="1" applyFont="1"/>
    <xf numFmtId="0" fontId="5" fillId="3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165" fontId="5" fillId="6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8" fillId="0" borderId="0" xfId="0" applyFont="1"/>
    <xf numFmtId="0" fontId="10" fillId="2" borderId="0" xfId="0" applyFont="1" applyFill="1"/>
    <xf numFmtId="0" fontId="9" fillId="2" borderId="2" xfId="0" applyFont="1" applyFill="1" applyBorder="1" applyAlignment="1">
      <alignment horizontal="center" vertical="center" wrapText="1"/>
    </xf>
    <xf numFmtId="0" fontId="13" fillId="0" borderId="3" xfId="0" applyFont="1" applyBorder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5">
    <dxf>
      <numFmt numFmtId="167" formatCode="yyyy\-mm\-dd"/>
    </dxf>
    <dxf>
      <fill>
        <patternFill>
          <bgColor rgb="FFC6E0B4"/>
        </patternFill>
      </fill>
    </dxf>
    <dxf>
      <fill>
        <patternFill>
          <bgColor rgb="FFFFEB84"/>
        </patternFill>
      </fill>
    </dxf>
    <dxf>
      <fill>
        <patternFill>
          <bgColor rgb="FFF8696B"/>
        </patternFill>
      </fill>
    </dxf>
    <dxf>
      <fill>
        <patternFill>
          <bgColor rgb="FFC6E0B4"/>
        </patternFill>
      </fill>
    </dxf>
    <dxf>
      <fill>
        <patternFill>
          <bgColor rgb="FFFFEB84"/>
        </patternFill>
      </fill>
    </dxf>
    <dxf>
      <fill>
        <patternFill>
          <bgColor rgb="FFC6E0B4"/>
        </patternFill>
      </fill>
    </dxf>
    <dxf>
      <fill>
        <patternFill>
          <bgColor rgb="FFFFEB84"/>
        </patternFill>
      </fill>
    </dxf>
    <dxf>
      <fill>
        <patternFill>
          <bgColor rgb="FFF8696B"/>
        </patternFill>
      </fill>
    </dxf>
    <dxf>
      <fill>
        <patternFill>
          <bgColor rgb="FFC6E0B4"/>
        </patternFill>
      </fill>
    </dxf>
    <dxf>
      <fill>
        <patternFill>
          <bgColor rgb="FFFFEB84"/>
        </patternFill>
      </fill>
    </dxf>
    <dxf>
      <fill>
        <patternFill>
          <bgColor rgb="FFFFC000"/>
        </patternFill>
      </fill>
    </dxf>
    <dxf>
      <fill>
        <patternFill>
          <bgColor rgb="FFF8696B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charset val="1"/>
        <scheme val="none"/>
      </font>
      <fill>
        <patternFill patternType="solid">
          <fgColor rgb="FF2E5395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19" formatCode="dd/mm/yyyy"/>
    </dxf>
    <dxf>
      <numFmt numFmtId="19" formatCode="dd/mm/yyyy"/>
    </dxf>
    <dxf>
      <numFmt numFmtId="166" formatCode="&quot;R$ &quot;#,##0.00"/>
    </dxf>
    <dxf>
      <numFmt numFmtId="166" formatCode="&quot;R$ &quot;#,##0.00"/>
    </dxf>
    <dxf>
      <numFmt numFmtId="19" formatCode="dd/mm/yyyy"/>
    </dxf>
    <dxf>
      <border outline="0">
        <bottom style="thin">
          <color rgb="FFBFBFBF"/>
        </bottom>
      </border>
    </dxf>
    <dxf>
      <border outline="0">
        <top style="thin">
          <color rgb="FFBFBFBF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charset val="1"/>
        <scheme val="none"/>
      </font>
      <fill>
        <patternFill patternType="solid">
          <fgColor rgb="FF2E5395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19" formatCode="dd/mm/yyyy"/>
    </dxf>
    <dxf>
      <border outline="0">
        <bottom style="thin">
          <color rgb="FFBFBFBF"/>
        </bottom>
      </border>
    </dxf>
    <dxf>
      <border outline="0">
        <top style="thin">
          <color rgb="FFBFBFBF"/>
        </top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9F9F9"/>
      <rgbColor rgb="FFD9E2F3"/>
      <rgbColor rgb="FF660066"/>
      <rgbColor rgb="FFF869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B84"/>
      <rgbColor rgb="FF99CCFF"/>
      <rgbColor rgb="FFFF99CC"/>
      <rgbColor rgb="FFCC99FF"/>
      <rgbColor rgb="FFFFCC99"/>
      <rgbColor rgb="FF4F81BD"/>
      <rgbColor rgb="FF33CCCC"/>
      <rgbColor rgb="FF9BBB59"/>
      <rgbColor rgb="FFFFC000"/>
      <rgbColor rgb="FFBF8F00"/>
      <rgbColor rgb="FFC55A11"/>
      <rgbColor rgb="FF8064A2"/>
      <rgbColor rgb="FF878787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Valor em Estoque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Indicadores!$B$2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rgbClr val="2E539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Indicadores!$A$3:$A$12</c:f>
              <c:strCache>
                <c:ptCount val="10"/>
                <c:pt idx="0">
                  <c:v>Correias e Polias</c:v>
                </c:pt>
                <c:pt idx="1">
                  <c:v>Eletrico</c:v>
                </c:pt>
                <c:pt idx="2">
                  <c:v>Estrutural</c:v>
                </c:pt>
                <c:pt idx="3">
                  <c:v>Filtros</c:v>
                </c:pt>
                <c:pt idx="4">
                  <c:v>Fixacao</c:v>
                </c:pt>
                <c:pt idx="5">
                  <c:v>Hidraulico</c:v>
                </c:pt>
                <c:pt idx="6">
                  <c:v>Lubrificacao</c:v>
                </c:pt>
                <c:pt idx="7">
                  <c:v>Molas e Amortecedores</c:v>
                </c:pt>
                <c:pt idx="8">
                  <c:v>Revestimentos</c:v>
                </c:pt>
                <c:pt idx="9">
                  <c:v>Rolamentos</c:v>
                </c:pt>
              </c:strCache>
            </c:strRef>
          </c:cat>
          <c:val>
            <c:numRef>
              <c:f>Indicadores!$B$3:$B$12</c:f>
              <c:numCache>
                <c:formatCode>"R$ "#,##0</c:formatCode>
                <c:ptCount val="10"/>
                <c:pt idx="0">
                  <c:v>7665</c:v>
                </c:pt>
                <c:pt idx="1">
                  <c:v>144040</c:v>
                </c:pt>
                <c:pt idx="2">
                  <c:v>82450</c:v>
                </c:pt>
                <c:pt idx="3">
                  <c:v>9990</c:v>
                </c:pt>
                <c:pt idx="4">
                  <c:v>12102.5</c:v>
                </c:pt>
                <c:pt idx="5">
                  <c:v>73400</c:v>
                </c:pt>
                <c:pt idx="6">
                  <c:v>7600</c:v>
                </c:pt>
                <c:pt idx="7">
                  <c:v>29200</c:v>
                </c:pt>
                <c:pt idx="8">
                  <c:v>145360</c:v>
                </c:pt>
                <c:pt idx="9">
                  <c:v>46628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B9-43EB-92DD-C80485020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3257764"/>
        <c:axId val="18816419"/>
      </c:barChart>
      <c:catAx>
        <c:axId val="132577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8816419"/>
        <c:crosses val="autoZero"/>
        <c:auto val="1"/>
        <c:lblAlgn val="ctr"/>
        <c:lblOffset val="100"/>
        <c:noMultiLvlLbl val="0"/>
      </c:catAx>
      <c:valAx>
        <c:axId val="18816419"/>
        <c:scaling>
          <c:orientation val="minMax"/>
        </c:scaling>
        <c:delete val="0"/>
        <c:axPos val="l"/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32577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Status das Requisicoes (RC)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Indicadores!$B$16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C41E-4EF0-A7F2-7464B3F69694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C41E-4EF0-A7F2-7464B3F69694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C41E-4EF0-A7F2-7464B3F69694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C41E-4EF0-A7F2-7464B3F6969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C41E-4EF0-A7F2-7464B3F6969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C41E-4EF0-A7F2-7464B3F6969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C41E-4EF0-A7F2-7464B3F69694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C41E-4EF0-A7F2-7464B3F696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Indicadores!$A$17:$A$20</c:f>
              <c:strCache>
                <c:ptCount val="4"/>
                <c:pt idx="0">
                  <c:v>Pendente</c:v>
                </c:pt>
                <c:pt idx="1">
                  <c:v>Aguardando Aprovacao</c:v>
                </c:pt>
                <c:pt idx="2">
                  <c:v>Em Cotacao</c:v>
                </c:pt>
                <c:pt idx="3">
                  <c:v>Convertida</c:v>
                </c:pt>
              </c:strCache>
            </c:strRef>
          </c:cat>
          <c:val>
            <c:numRef>
              <c:f>Indicadores!$B$17:$B$20</c:f>
              <c:numCache>
                <c:formatCode>General</c:formatCode>
                <c:ptCount val="4"/>
                <c:pt idx="0">
                  <c:v>8</c:v>
                </c:pt>
                <c:pt idx="1">
                  <c:v>2</c:v>
                </c:pt>
                <c:pt idx="2">
                  <c:v>7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41E-4EF0-A7F2-7464B3F69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Status dos Pedidos (OC)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Indicadores!$B$24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rgbClr val="C55A1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Indicadores!$A$25:$A$27</c:f>
              <c:strCache>
                <c:ptCount val="3"/>
                <c:pt idx="0">
                  <c:v>Em Transito</c:v>
                </c:pt>
                <c:pt idx="1">
                  <c:v>Atrasado</c:v>
                </c:pt>
                <c:pt idx="2">
                  <c:v>Recebido</c:v>
                </c:pt>
              </c:strCache>
            </c:strRef>
          </c:cat>
          <c:val>
            <c:numRef>
              <c:f>Indicadores!$B$25:$B$27</c:f>
              <c:numCache>
                <c:formatCode>General</c:formatCode>
                <c:ptCount val="3"/>
                <c:pt idx="0">
                  <c:v>1</c:v>
                </c:pt>
                <c:pt idx="1">
                  <c:v>13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0A-4A9E-BAD8-646A498E9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91948078"/>
        <c:axId val="78994152"/>
      </c:barChart>
      <c:catAx>
        <c:axId val="9194807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8994152"/>
        <c:crosses val="autoZero"/>
        <c:auto val="1"/>
        <c:lblAlgn val="ctr"/>
        <c:lblOffset val="100"/>
        <c:noMultiLvlLbl val="0"/>
      </c:catAx>
      <c:valAx>
        <c:axId val="78994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19480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Cobertura de Estoque (dias)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Indicadores!$B$31</c:f>
              <c:strCache>
                <c:ptCount val="1"/>
                <c:pt idx="0">
                  <c:v>Qtde Materiais</c:v>
                </c:pt>
              </c:strCache>
            </c:strRef>
          </c:tx>
          <c:spPr>
            <a:solidFill>
              <a:srgbClr val="37562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Indicadores!$A$32:$A$35</c:f>
              <c:strCache>
                <c:ptCount val="4"/>
                <c:pt idx="0">
                  <c:v>Menos de 7 dias</c:v>
                </c:pt>
                <c:pt idx="1">
                  <c:v>De 7 a 30 dias</c:v>
                </c:pt>
                <c:pt idx="2">
                  <c:v>De 30 a 90 dias</c:v>
                </c:pt>
                <c:pt idx="3">
                  <c:v>Mais de 90 dias</c:v>
                </c:pt>
              </c:strCache>
            </c:strRef>
          </c:cat>
          <c:val>
            <c:numRef>
              <c:f>Indicadores!$B$32:$B$35</c:f>
              <c:numCache>
                <c:formatCode>General</c:formatCode>
                <c:ptCount val="4"/>
                <c:pt idx="0">
                  <c:v>45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A1-47E2-99F0-58FB82C2F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23114807"/>
        <c:axId val="88557476"/>
      </c:barChart>
      <c:catAx>
        <c:axId val="231148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8557476"/>
        <c:crosses val="autoZero"/>
        <c:auto val="1"/>
        <c:lblAlgn val="ctr"/>
        <c:lblOffset val="100"/>
        <c:noMultiLvlLbl val="0"/>
      </c:catAx>
      <c:valAx>
        <c:axId val="8855747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31148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Curva ABC — Quantidade de Materiais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Indicadores!$B$39</c:f>
              <c:strCache>
                <c:ptCount val="1"/>
                <c:pt idx="0">
                  <c:v>Qtde Materiais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2A76-495D-BC18-55941A796891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2A76-495D-BC18-55941A796891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2A76-495D-BC18-55941A796891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2A76-495D-BC18-55941A796891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2A76-495D-BC18-55941A796891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2A76-495D-BC18-55941A7968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Indicadores!$A$40:$A$42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Indicadores!$B$40:$B$42</c:f>
              <c:numCache>
                <c:formatCode>General</c:formatCode>
                <c:ptCount val="3"/>
                <c:pt idx="0">
                  <c:v>11</c:v>
                </c:pt>
                <c:pt idx="1">
                  <c:v>8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76-495D-BC18-55941A796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Estoque Parado por Faixa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Indicadores!$B$46</c:f>
              <c:strCache>
                <c:ptCount val="1"/>
                <c:pt idx="0">
                  <c:v>Valor Parado (R$)</c:v>
                </c:pt>
              </c:strCache>
            </c:strRef>
          </c:tx>
          <c:spPr>
            <a:solidFill>
              <a:srgbClr val="9C000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Indicadores!$A$47:$A$49</c:f>
              <c:strCache>
                <c:ptCount val="3"/>
                <c:pt idx="0">
                  <c:v>90 a 180 dias</c:v>
                </c:pt>
                <c:pt idx="1">
                  <c:v>180 a 365 dias</c:v>
                </c:pt>
                <c:pt idx="2">
                  <c:v>Mais de 365 dias</c:v>
                </c:pt>
              </c:strCache>
            </c:strRef>
          </c:cat>
          <c:val>
            <c:numRef>
              <c:f>Indicadores!$B$47:$B$49</c:f>
              <c:numCache>
                <c:formatCode>"R$ "#,##0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558435.5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30-4F83-A528-3C5565261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27233849"/>
        <c:axId val="9499988"/>
      </c:barChart>
      <c:catAx>
        <c:axId val="2723384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499988"/>
        <c:crosses val="autoZero"/>
        <c:auto val="1"/>
        <c:lblAlgn val="ctr"/>
        <c:lblOffset val="100"/>
        <c:noMultiLvlLbl val="0"/>
      </c:catAx>
      <c:valAx>
        <c:axId val="9499988"/>
        <c:scaling>
          <c:orientation val="minMax"/>
        </c:scaling>
        <c:delete val="0"/>
        <c:axPos val="l"/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72338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3</xdr:col>
      <xdr:colOff>2638425</xdr:colOff>
      <xdr:row>25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10</xdr:row>
      <xdr:rowOff>0</xdr:rowOff>
    </xdr:from>
    <xdr:to>
      <xdr:col>8</xdr:col>
      <xdr:colOff>302085</xdr:colOff>
      <xdr:row>26</xdr:row>
      <xdr:rowOff>11160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10</xdr:row>
      <xdr:rowOff>0</xdr:rowOff>
    </xdr:from>
    <xdr:to>
      <xdr:col>15</xdr:col>
      <xdr:colOff>345600</xdr:colOff>
      <xdr:row>26</xdr:row>
      <xdr:rowOff>11160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28</xdr:row>
      <xdr:rowOff>0</xdr:rowOff>
    </xdr:from>
    <xdr:to>
      <xdr:col>4</xdr:col>
      <xdr:colOff>206835</xdr:colOff>
      <xdr:row>44</xdr:row>
      <xdr:rowOff>11160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0</xdr:colOff>
      <xdr:row>28</xdr:row>
      <xdr:rowOff>0</xdr:rowOff>
    </xdr:from>
    <xdr:to>
      <xdr:col>8</xdr:col>
      <xdr:colOff>302085</xdr:colOff>
      <xdr:row>44</xdr:row>
      <xdr:rowOff>11160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0</xdr:colOff>
      <xdr:row>28</xdr:row>
      <xdr:rowOff>0</xdr:rowOff>
    </xdr:from>
    <xdr:to>
      <xdr:col>15</xdr:col>
      <xdr:colOff>345600</xdr:colOff>
      <xdr:row>44</xdr:row>
      <xdr:rowOff>11160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ego" refreshedDate="46257.408629398145" createdVersion="8" refreshedVersion="8" minRefreshableVersion="3" recordCount="30" xr:uid="{9EF42F5C-301E-4FDB-8CA8-F532724818B4}">
  <cacheSource type="worksheet">
    <worksheetSource name="Tabela3"/>
  </cacheSource>
  <cacheFields count="14">
    <cacheField name="Codigo Material" numFmtId="0">
      <sharedItems/>
    </cacheField>
    <cacheField name="Nome do Material" numFmtId="0">
      <sharedItems/>
    </cacheField>
    <cacheField name="Numero OC" numFmtId="0">
      <sharedItems count="30">
        <s v="457000"/>
        <s v="457001"/>
        <s v="457002"/>
        <s v="457003"/>
        <s v="457004"/>
        <s v="457005"/>
        <s v="457006"/>
        <s v="457007"/>
        <s v="457008"/>
        <s v="457009"/>
        <s v="457010"/>
        <s v="457011"/>
        <s v="457012"/>
        <s v="457013"/>
        <s v="457014"/>
        <s v="457015"/>
        <s v="457016"/>
        <s v="457017"/>
        <s v="457018"/>
        <s v="457019"/>
        <s v="457020"/>
        <s v="457021"/>
        <s v="457022"/>
        <s v="457023"/>
        <s v="457024"/>
        <s v="457025"/>
        <s v="457026"/>
        <s v="457027"/>
        <s v="457028"/>
        <s v="457029"/>
      </sharedItems>
    </cacheField>
    <cacheField name="Data Emissao" numFmtId="14">
      <sharedItems containsSemiMixedTypes="0" containsNonDate="0" containsDate="1" containsString="0" minDate="2026-04-03T00:00:00" maxDate="2026-08-04T00:00:00"/>
    </cacheField>
    <cacheField name="Fornecedor (Cod)" numFmtId="0">
      <sharedItems/>
    </cacheField>
    <cacheField name="Nome do Fornecedor" numFmtId="0">
      <sharedItems/>
    </cacheField>
    <cacheField name="Quantidade" numFmtId="0">
      <sharedItems containsSemiMixedTypes="0" containsString="0" containsNumber="1" containsInteger="1" minValue="1" maxValue="10"/>
    </cacheField>
    <cacheField name="Valor Unitario (R$)" numFmtId="166">
      <sharedItems containsSemiMixedTypes="0" containsString="0" containsNumber="1" minValue="2.2000000000000002" maxValue="32500"/>
    </cacheField>
    <cacheField name="Valor Total (R$)" numFmtId="166">
      <sharedItems containsSemiMixedTypes="0" containsString="0" containsNumber="1" minValue="13.200000000000001" maxValue="227500"/>
    </cacheField>
    <cacheField name="Data Prevista" numFmtId="14">
      <sharedItems containsSemiMixedTypes="0" containsNonDate="0" containsDate="1" containsString="0" minDate="2026-04-11T00:00:00" maxDate="2026-09-03T00:00:00"/>
    </cacheField>
    <cacheField name="Data Recebimento" numFmtId="14">
      <sharedItems containsNonDate="0" containsDate="1" containsString="0" containsBlank="1" minDate="2026-04-29T00:00:00" maxDate="2026-07-21T00:00:00"/>
    </cacheField>
    <cacheField name="Status" numFmtId="0">
      <sharedItems count="3">
        <s v="Recebido"/>
        <s v="Atrasado"/>
        <s v="Em Transito"/>
      </sharedItems>
    </cacheField>
    <cacheField name="Situacao Entrega" numFmtId="0">
      <sharedItems/>
    </cacheField>
    <cacheField name="Dias de Atraso" numFmtId="0">
      <sharedItems containsSemiMixedTypes="0" containsString="0" containsNumber="1" containsInteger="1" minValue="0" maxValue="1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ego" refreshedDate="46257.415025810187" createdVersion="8" refreshedVersion="8" minRefreshableVersion="3" recordCount="30" xr:uid="{6086F6C7-CF0C-40E2-9CEF-CDBF21A26FB5}">
  <cacheSource type="worksheet">
    <worksheetSource name="Tabela1"/>
  </cacheSource>
  <cacheFields count="7">
    <cacheField name="Codigo Material" numFmtId="0">
      <sharedItems/>
    </cacheField>
    <cacheField name="Nome do Material" numFmtId="0">
      <sharedItems/>
    </cacheField>
    <cacheField name="Numero RC" numFmtId="0">
      <sharedItems/>
    </cacheField>
    <cacheField name="Data" numFmtId="14">
      <sharedItems containsSemiMixedTypes="0" containsNonDate="0" containsDate="1" containsString="0" minDate="2026-04-30T00:00:00" maxDate="2026-08-11T00:00:00"/>
    </cacheField>
    <cacheField name="Quantidade" numFmtId="0">
      <sharedItems containsSemiMixedTypes="0" containsString="0" containsNumber="1" containsInteger="1" minValue="1" maxValue="8"/>
    </cacheField>
    <cacheField name="Status" numFmtId="0">
      <sharedItems count="4">
        <s v="Convertida"/>
        <s v="Em Cotacao"/>
        <s v="Aguardando Aprovacao"/>
        <s v="Pendente"/>
      </sharedItems>
    </cacheField>
    <cacheField name="Dias em Aberto" numFmtId="0">
      <sharedItems containsMixedTypes="1" containsNumber="1" containsInteger="1" minValue="13" maxValue="1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100002001"/>
    <s v="Mandibula Fixa do Britador"/>
    <x v="0"/>
    <d v="2026-06-05T00:00:00"/>
    <s v="F002"/>
    <s v="Metso Outotec Brasil"/>
    <n v="3"/>
    <n v="18500"/>
    <n v="55500"/>
    <d v="2026-07-05T00:00:00"/>
    <d v="2026-07-17T00:00:00"/>
    <x v="0"/>
    <s v="Atrasado"/>
    <n v="12"/>
  </r>
  <r>
    <s v="100002004"/>
    <s v="Revestimento Manto"/>
    <x v="1"/>
    <d v="2026-05-29T00:00:00"/>
    <s v="F002"/>
    <s v="Metso Outotec Brasil"/>
    <n v="4"/>
    <n v="11800"/>
    <n v="47200"/>
    <d v="2026-06-28T00:00:00"/>
    <m/>
    <x v="1"/>
    <s v="-"/>
    <n v="56"/>
  </r>
  <r>
    <s v="100002007"/>
    <s v="Placa de Impacto"/>
    <x v="2"/>
    <d v="2026-05-17T00:00:00"/>
    <s v="F003"/>
    <s v="Sandvik Mining Brasil"/>
    <n v="4"/>
    <n v="1980"/>
    <n v="7920"/>
    <d v="2026-06-11T00:00:00"/>
    <d v="2026-06-18T00:00:00"/>
    <x v="0"/>
    <s v="Atrasado"/>
    <n v="7"/>
  </r>
  <r>
    <s v="100002010"/>
    <s v="Bucha Excentrica"/>
    <x v="3"/>
    <d v="2026-06-14T00:00:00"/>
    <s v="F007"/>
    <s v="Rolamentos ABC Ltda"/>
    <n v="10"/>
    <n v="2150"/>
    <n v="21500"/>
    <d v="2026-06-22T00:00:00"/>
    <d v="2026-06-22T00:00:00"/>
    <x v="0"/>
    <s v="No Prazo"/>
    <n v="0"/>
  </r>
  <r>
    <s v="100002356"/>
    <s v="Rolamento 6205"/>
    <x v="4"/>
    <d v="2026-04-03T00:00:00"/>
    <s v="F007"/>
    <s v="Rolamentos ABC Ltda"/>
    <n v="3"/>
    <n v="145"/>
    <n v="435"/>
    <d v="2026-04-11T00:00:00"/>
    <m/>
    <x v="1"/>
    <s v="-"/>
    <n v="134"/>
  </r>
  <r>
    <s v="100002359"/>
    <s v="Rolamento Esferico 22318"/>
    <x v="5"/>
    <d v="2026-04-21T00:00:00"/>
    <s v="F001"/>
    <s v="SKF do Brasil Ltda"/>
    <n v="5"/>
    <n v="1240"/>
    <n v="6200"/>
    <d v="2026-05-06T00:00:00"/>
    <m/>
    <x v="1"/>
    <s v="-"/>
    <n v="109"/>
  </r>
  <r>
    <s v="100003001"/>
    <s v="Correia Transportadora B-1200"/>
    <x v="6"/>
    <d v="2026-07-24T00:00:00"/>
    <s v="F005"/>
    <s v="Gates Correias Industriais"/>
    <n v="3"/>
    <n v="320"/>
    <n v="960"/>
    <d v="2026-08-03T00:00:00"/>
    <m/>
    <x v="1"/>
    <s v="-"/>
    <n v="20"/>
  </r>
  <r>
    <s v="100003004"/>
    <s v="Polia Movida"/>
    <x v="7"/>
    <d v="2026-06-04T00:00:00"/>
    <s v="F004"/>
    <s v="WEG Equipamentos S.A."/>
    <n v="8"/>
    <n v="2180"/>
    <n v="17440"/>
    <d v="2026-06-16T00:00:00"/>
    <d v="2026-06-16T00:00:00"/>
    <x v="0"/>
    <s v="No Prazo"/>
    <n v="0"/>
  </r>
  <r>
    <s v="100005001"/>
    <s v="Motor Eletrico 150cv"/>
    <x v="8"/>
    <d v="2026-07-18T00:00:00"/>
    <s v="F004"/>
    <s v="WEG Equipamentos S.A."/>
    <n v="7"/>
    <n v="32500"/>
    <n v="227500"/>
    <d v="2026-07-30T00:00:00"/>
    <m/>
    <x v="1"/>
    <s v="-"/>
    <n v="24"/>
  </r>
  <r>
    <s v="100005004"/>
    <s v="Sensor de Vibracao"/>
    <x v="9"/>
    <d v="2026-06-19T00:00:00"/>
    <s v="F004"/>
    <s v="WEG Equipamentos S.A."/>
    <n v="6"/>
    <n v="1350"/>
    <n v="8100"/>
    <d v="2026-07-01T00:00:00"/>
    <m/>
    <x v="1"/>
    <s v="-"/>
    <n v="53"/>
  </r>
  <r>
    <s v="100005007"/>
    <s v="Contator Tripolar"/>
    <x v="10"/>
    <d v="2026-06-06T00:00:00"/>
    <s v="F004"/>
    <s v="WEG Equipamentos S.A."/>
    <n v="9"/>
    <n v="340"/>
    <n v="3060"/>
    <d v="2026-06-18T00:00:00"/>
    <m/>
    <x v="1"/>
    <s v="-"/>
    <n v="66"/>
  </r>
  <r>
    <s v="100006003"/>
    <s v="Mangueira Hidraulica 1 polegada"/>
    <x v="11"/>
    <d v="2026-05-04T00:00:00"/>
    <s v="F006"/>
    <s v="Bosch Rexroth Brasil"/>
    <n v="8"/>
    <n v="85"/>
    <n v="680"/>
    <d v="2026-05-24T00:00:00"/>
    <d v="2026-06-05T00:00:00"/>
    <x v="0"/>
    <s v="Atrasado"/>
    <n v="12"/>
  </r>
  <r>
    <s v="100007002"/>
    <s v="Filtro de Oleo Lubrificante"/>
    <x v="12"/>
    <d v="2026-05-15T00:00:00"/>
    <s v="F007"/>
    <s v="Rolamentos ABC Ltda"/>
    <n v="9"/>
    <n v="95"/>
    <n v="855"/>
    <d v="2026-05-23T00:00:00"/>
    <d v="2026-05-23T00:00:00"/>
    <x v="0"/>
    <s v="No Prazo"/>
    <n v="0"/>
  </r>
  <r>
    <s v="100008002"/>
    <s v="Graxa Industrial EP2"/>
    <x v="13"/>
    <d v="2026-06-30T00:00:00"/>
    <s v="F008"/>
    <s v="Ferragens Industrial XYZ"/>
    <n v="5"/>
    <n v="32"/>
    <n v="160"/>
    <d v="2026-07-05T00:00:00"/>
    <d v="2026-07-08T00:00:00"/>
    <x v="0"/>
    <s v="Atrasado"/>
    <n v="3"/>
  </r>
  <r>
    <s v="100009003"/>
    <s v="Arruela de Pressao M24"/>
    <x v="14"/>
    <d v="2026-06-10T00:00:00"/>
    <s v="F008"/>
    <s v="Ferragens Industrial XYZ"/>
    <n v="10"/>
    <n v="2.2000000000000002"/>
    <n v="22"/>
    <d v="2026-06-15T00:00:00"/>
    <d v="2026-06-15T00:00:00"/>
    <x v="0"/>
    <s v="No Prazo"/>
    <n v="0"/>
  </r>
  <r>
    <s v="100002001"/>
    <s v="Mandibula Fixa do Britador"/>
    <x v="15"/>
    <d v="2026-08-03T00:00:00"/>
    <s v="F002"/>
    <s v="Metso Outotec Brasil"/>
    <n v="10"/>
    <n v="18500"/>
    <n v="185000"/>
    <d v="2026-09-02T00:00:00"/>
    <m/>
    <x v="2"/>
    <s v="-"/>
    <n v="0"/>
  </r>
  <r>
    <s v="100002004"/>
    <s v="Revestimento Manto"/>
    <x v="16"/>
    <d v="2026-05-30T00:00:00"/>
    <s v="F002"/>
    <s v="Metso Outotec Brasil"/>
    <n v="6"/>
    <n v="11800"/>
    <n v="70800"/>
    <d v="2026-06-29T00:00:00"/>
    <m/>
    <x v="1"/>
    <s v="-"/>
    <n v="55"/>
  </r>
  <r>
    <s v="100002007"/>
    <s v="Placa de Impacto"/>
    <x v="17"/>
    <d v="2026-05-03T00:00:00"/>
    <s v="F003"/>
    <s v="Sandvik Mining Brasil"/>
    <n v="8"/>
    <n v="1980"/>
    <n v="15840"/>
    <d v="2026-05-28T00:00:00"/>
    <d v="2026-06-09T00:00:00"/>
    <x v="0"/>
    <s v="Atrasado"/>
    <n v="12"/>
  </r>
  <r>
    <s v="100002010"/>
    <s v="Bucha Excentrica"/>
    <x v="18"/>
    <d v="2026-07-08T00:00:00"/>
    <s v="F007"/>
    <s v="Rolamentos ABC Ltda"/>
    <n v="1"/>
    <n v="2150"/>
    <n v="2150"/>
    <d v="2026-07-16T00:00:00"/>
    <d v="2026-07-19T00:00:00"/>
    <x v="0"/>
    <s v="Atrasado"/>
    <n v="3"/>
  </r>
  <r>
    <s v="100002356"/>
    <s v="Rolamento 6205"/>
    <x v="19"/>
    <d v="2026-05-27T00:00:00"/>
    <s v="F007"/>
    <s v="Rolamentos ABC Ltda"/>
    <n v="8"/>
    <n v="145"/>
    <n v="1160"/>
    <d v="2026-06-04T00:00:00"/>
    <d v="2026-06-16T00:00:00"/>
    <x v="0"/>
    <s v="Atrasado"/>
    <n v="12"/>
  </r>
  <r>
    <s v="100002359"/>
    <s v="Rolamento Esferico 22318"/>
    <x v="20"/>
    <d v="2026-06-03T00:00:00"/>
    <s v="F001"/>
    <s v="SKF do Brasil Ltda"/>
    <n v="5"/>
    <n v="1240"/>
    <n v="6200"/>
    <d v="2026-06-18T00:00:00"/>
    <d v="2026-06-21T00:00:00"/>
    <x v="0"/>
    <s v="Atrasado"/>
    <n v="3"/>
  </r>
  <r>
    <s v="100003001"/>
    <s v="Correia Transportadora B-1200"/>
    <x v="21"/>
    <d v="2026-06-28T00:00:00"/>
    <s v="F005"/>
    <s v="Gates Correias Industriais"/>
    <n v="6"/>
    <n v="320"/>
    <n v="1920"/>
    <d v="2026-07-08T00:00:00"/>
    <d v="2026-07-20T00:00:00"/>
    <x v="0"/>
    <s v="Atrasado"/>
    <n v="12"/>
  </r>
  <r>
    <s v="100003004"/>
    <s v="Polia Movida"/>
    <x v="22"/>
    <d v="2026-05-05T00:00:00"/>
    <s v="F004"/>
    <s v="WEG Equipamentos S.A."/>
    <n v="10"/>
    <n v="2180"/>
    <n v="21800"/>
    <d v="2026-05-17T00:00:00"/>
    <m/>
    <x v="1"/>
    <s v="-"/>
    <n v="98"/>
  </r>
  <r>
    <s v="100005001"/>
    <s v="Motor Eletrico 150cv"/>
    <x v="23"/>
    <d v="2026-05-30T00:00:00"/>
    <s v="F004"/>
    <s v="WEG Equipamentos S.A."/>
    <n v="4"/>
    <n v="32500"/>
    <n v="130000"/>
    <d v="2026-06-11T00:00:00"/>
    <m/>
    <x v="1"/>
    <s v="-"/>
    <n v="73"/>
  </r>
  <r>
    <s v="100005004"/>
    <s v="Sensor de Vibracao"/>
    <x v="24"/>
    <d v="2026-04-10T00:00:00"/>
    <s v="F004"/>
    <s v="WEG Equipamentos S.A."/>
    <n v="10"/>
    <n v="1350"/>
    <n v="13500"/>
    <d v="2026-04-22T00:00:00"/>
    <m/>
    <x v="1"/>
    <s v="-"/>
    <n v="123"/>
  </r>
  <r>
    <s v="100005007"/>
    <s v="Contator Tripolar"/>
    <x v="25"/>
    <d v="2026-04-09T00:00:00"/>
    <s v="F004"/>
    <s v="WEG Equipamentos S.A."/>
    <n v="10"/>
    <n v="340"/>
    <n v="3400"/>
    <d v="2026-04-21T00:00:00"/>
    <d v="2026-05-03T00:00:00"/>
    <x v="0"/>
    <s v="Atrasado"/>
    <n v="12"/>
  </r>
  <r>
    <s v="100006003"/>
    <s v="Mangueira Hidraulica 1 polegada"/>
    <x v="26"/>
    <d v="2026-06-26T00:00:00"/>
    <s v="F006"/>
    <s v="Bosch Rexroth Brasil"/>
    <n v="3"/>
    <n v="85"/>
    <n v="255"/>
    <d v="2026-07-16T00:00:00"/>
    <d v="2026-07-16T00:00:00"/>
    <x v="0"/>
    <s v="No Prazo"/>
    <n v="0"/>
  </r>
  <r>
    <s v="100007002"/>
    <s v="Filtro de Oleo Lubrificante"/>
    <x v="27"/>
    <d v="2026-04-28T00:00:00"/>
    <s v="F007"/>
    <s v="Rolamentos ABC Ltda"/>
    <n v="3"/>
    <n v="95"/>
    <n v="285"/>
    <d v="2026-05-06T00:00:00"/>
    <m/>
    <x v="1"/>
    <s v="-"/>
    <n v="109"/>
  </r>
  <r>
    <s v="100008002"/>
    <s v="Graxa Industrial EP2"/>
    <x v="28"/>
    <d v="2026-04-17T00:00:00"/>
    <s v="F008"/>
    <s v="Ferragens Industrial XYZ"/>
    <n v="9"/>
    <n v="32"/>
    <n v="288"/>
    <d v="2026-04-22T00:00:00"/>
    <d v="2026-04-29T00:00:00"/>
    <x v="0"/>
    <s v="Atrasado"/>
    <n v="7"/>
  </r>
  <r>
    <s v="100009003"/>
    <s v="Arruela de Pressao M24"/>
    <x v="29"/>
    <d v="2026-04-09T00:00:00"/>
    <s v="F008"/>
    <s v="Ferragens Industrial XYZ"/>
    <n v="6"/>
    <n v="2.2000000000000002"/>
    <n v="13.200000000000001"/>
    <d v="2026-04-14T00:00:00"/>
    <m/>
    <x v="1"/>
    <s v="-"/>
    <n v="13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100002001"/>
    <s v="Mandibula Fixa do Britador"/>
    <s v="RC450002300"/>
    <d v="2026-06-26T00:00:00"/>
    <n v="8"/>
    <x v="0"/>
    <s v="-"/>
  </r>
  <r>
    <s v="100002002"/>
    <s v="Mandibula Movel do Britador"/>
    <s v="RC450002301"/>
    <d v="2026-07-04T00:00:00"/>
    <n v="4"/>
    <x v="0"/>
    <s v="-"/>
  </r>
  <r>
    <s v="100002003"/>
    <s v="Revestimento Concavo"/>
    <s v="RC450002302"/>
    <d v="2026-08-10T00:00:00"/>
    <n v="3"/>
    <x v="1"/>
    <n v="13"/>
  </r>
  <r>
    <s v="100002004"/>
    <s v="Revestimento Manto"/>
    <s v="RC450002303"/>
    <d v="2026-06-26T00:00:00"/>
    <n v="2"/>
    <x v="2"/>
    <n v="58"/>
  </r>
  <r>
    <s v="100002005"/>
    <s v="Chapa Blindada Lateral"/>
    <s v="RC450002304"/>
    <d v="2026-07-15T00:00:00"/>
    <n v="8"/>
    <x v="0"/>
    <s v="-"/>
  </r>
  <r>
    <s v="100002006"/>
    <s v="Chapa de Desgaste"/>
    <s v="RC450002305"/>
    <d v="2026-07-18T00:00:00"/>
    <n v="2"/>
    <x v="3"/>
    <n v="36"/>
  </r>
  <r>
    <s v="100002007"/>
    <s v="Placa de Impacto"/>
    <s v="RC450002306"/>
    <d v="2026-05-04T00:00:00"/>
    <n v="4"/>
    <x v="3"/>
    <n v="111"/>
  </r>
  <r>
    <s v="100002008"/>
    <s v="Eixo Excentrico"/>
    <s v="RC450002307"/>
    <d v="2026-08-07T00:00:00"/>
    <n v="8"/>
    <x v="1"/>
    <n v="16"/>
  </r>
  <r>
    <s v="100002009"/>
    <s v="Bucha de Bronze"/>
    <s v="RC450002308"/>
    <d v="2026-07-05T00:00:00"/>
    <n v="5"/>
    <x v="3"/>
    <n v="49"/>
  </r>
  <r>
    <s v="100002010"/>
    <s v="Bucha Excentrica"/>
    <s v="RC450002309"/>
    <d v="2026-04-30T00:00:00"/>
    <n v="8"/>
    <x v="0"/>
    <s v="-"/>
  </r>
  <r>
    <s v="100002011"/>
    <s v="Volante de Inercia"/>
    <s v="RC450002310"/>
    <d v="2026-06-21T00:00:00"/>
    <n v="2"/>
    <x v="0"/>
    <s v="-"/>
  </r>
  <r>
    <s v="100002012"/>
    <s v="Grelha Vibratoria"/>
    <s v="RC450002311"/>
    <d v="2026-06-09T00:00:00"/>
    <n v="5"/>
    <x v="0"/>
    <s v="-"/>
  </r>
  <r>
    <s v="100002356"/>
    <s v="Rolamento 6205"/>
    <s v="RC450002312"/>
    <d v="2026-05-08T00:00:00"/>
    <n v="2"/>
    <x v="1"/>
    <n v="107"/>
  </r>
  <r>
    <s v="100002357"/>
    <s v="Rolamento 6308"/>
    <s v="RC450002313"/>
    <d v="2026-05-13T00:00:00"/>
    <n v="7"/>
    <x v="0"/>
    <s v="-"/>
  </r>
  <r>
    <s v="100002358"/>
    <s v="Rolamento de Rolos Conicos 32218"/>
    <s v="RC450002314"/>
    <d v="2026-05-02T00:00:00"/>
    <n v="1"/>
    <x v="0"/>
    <s v="-"/>
  </r>
  <r>
    <s v="100002359"/>
    <s v="Rolamento Esferico 22318"/>
    <s v="RC450002315"/>
    <d v="2026-05-26T00:00:00"/>
    <n v="1"/>
    <x v="0"/>
    <s v="-"/>
  </r>
  <r>
    <s v="100002360"/>
    <s v="Rolamento Autocompensador 22222"/>
    <s v="RC450002316"/>
    <d v="2026-06-17T00:00:00"/>
    <n v="7"/>
    <x v="0"/>
    <s v="-"/>
  </r>
  <r>
    <s v="100002361"/>
    <s v="Retentor de Vedacao"/>
    <s v="RC450002317"/>
    <d v="2026-05-09T00:00:00"/>
    <n v="4"/>
    <x v="1"/>
    <n v="106"/>
  </r>
  <r>
    <s v="100003001"/>
    <s v="Correia Transportadora B-1200"/>
    <s v="RC450002318"/>
    <d v="2026-06-12T00:00:00"/>
    <n v="6"/>
    <x v="3"/>
    <n v="72"/>
  </r>
  <r>
    <s v="100003002"/>
    <s v="Correia em V A-75"/>
    <s v="RC450002319"/>
    <d v="2026-06-21T00:00:00"/>
    <n v="2"/>
    <x v="0"/>
    <s v="-"/>
  </r>
  <r>
    <s v="100003003"/>
    <s v="Polia Motora"/>
    <s v="RC450002320"/>
    <d v="2026-05-31T00:00:00"/>
    <n v="1"/>
    <x v="0"/>
    <s v="-"/>
  </r>
  <r>
    <s v="100003004"/>
    <s v="Polia Movida"/>
    <s v="RC450002321"/>
    <d v="2026-06-28T00:00:00"/>
    <n v="3"/>
    <x v="0"/>
    <s v="-"/>
  </r>
  <r>
    <s v="100004001"/>
    <s v="Mola de Compressao"/>
    <s v="RC450002322"/>
    <d v="2026-06-26T00:00:00"/>
    <n v="3"/>
    <x v="1"/>
    <n v="58"/>
  </r>
  <r>
    <s v="100004002"/>
    <s v="Amortecedor de Impacto"/>
    <s v="RC450002323"/>
    <d v="2026-07-21T00:00:00"/>
    <n v="7"/>
    <x v="2"/>
    <n v="33"/>
  </r>
  <r>
    <s v="100005001"/>
    <s v="Motor Eletrico 150cv"/>
    <s v="RC450002324"/>
    <d v="2026-05-27T00:00:00"/>
    <n v="5"/>
    <x v="3"/>
    <n v="88"/>
  </r>
  <r>
    <s v="100005002"/>
    <s v="Motor Eletrico 75cv"/>
    <s v="RC450002325"/>
    <d v="2026-05-26T00:00:00"/>
    <n v="2"/>
    <x v="3"/>
    <n v="89"/>
  </r>
  <r>
    <s v="100005003"/>
    <s v="Painel de Comando"/>
    <s v="RC450002326"/>
    <d v="2026-05-18T00:00:00"/>
    <n v="5"/>
    <x v="3"/>
    <n v="97"/>
  </r>
  <r>
    <s v="100005004"/>
    <s v="Sensor de Vibracao"/>
    <s v="RC450002327"/>
    <d v="2026-08-06T00:00:00"/>
    <n v="5"/>
    <x v="1"/>
    <n v="17"/>
  </r>
  <r>
    <s v="100005005"/>
    <s v="Sensor de Temperatura"/>
    <s v="RC450002328"/>
    <d v="2026-05-09T00:00:00"/>
    <n v="4"/>
    <x v="3"/>
    <n v="106"/>
  </r>
  <r>
    <s v="100005006"/>
    <s v="Cabo Eletrico 4x10mm"/>
    <s v="RC450002329"/>
    <d v="2026-05-01T00:00:00"/>
    <n v="6"/>
    <x v="1"/>
    <n v="1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6CB1CC-9BEC-4F1E-8050-1815E46364FC}" name="Tabela_requisicao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15:J20" firstHeaderRow="1" firstDataRow="1" firstDataCol="1"/>
  <pivotFields count="7">
    <pivotField showAll="0"/>
    <pivotField showAll="0"/>
    <pivotField dataField="1" showAll="0"/>
    <pivotField numFmtId="14"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Numero RC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EBFCEE-F05E-4F9D-9F8B-51AC42814FC3}" name="Tabela_pedidos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23:G27" firstHeaderRow="1" firstDataRow="1" firstDataCol="1"/>
  <pivotFields count="14">
    <pivotField showAll="0"/>
    <pivotField showAll="0"/>
    <pivotField dataField="1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umFmtId="14" showAll="0"/>
    <pivotField showAll="0"/>
    <pivotField showAll="0"/>
    <pivotField showAll="0"/>
    <pivotField numFmtId="166" showAll="0"/>
    <pivotField numFmtId="166" showAll="0"/>
    <pivotField numFmtId="14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Numero OC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F42A345-441C-4CA1-A401-9440F3851172}" name="Tabela4" displayName="Tabela4" ref="A1:L91" totalsRowShown="0">
  <autoFilter ref="A1:L91" xr:uid="{9F42A345-441C-4CA1-A401-9440F3851172}"/>
  <tableColumns count="12">
    <tableColumn id="1" xr3:uid="{764FC1D7-5481-4C12-B624-C952B2A61790}" name="Data" dataDxfId="0"/>
    <tableColumn id="2" xr3:uid="{65C3F726-E27A-4356-A7BC-BC9CC698AF6D}" name="Documento Material"/>
    <tableColumn id="3" xr3:uid="{BCB96D60-26AF-46C6-A522-3FB360A5318C}" name="Tipo Movimento"/>
    <tableColumn id="4" xr3:uid="{DC853E43-5403-4706-A4D7-B47C4CF50FE5}" name="Material"/>
    <tableColumn id="5" xr3:uid="{4437FC3D-4DFB-42E8-AE6F-FFA123DA884C}" name="Descricao Material"/>
    <tableColumn id="6" xr3:uid="{735448D7-99C5-4165-91F2-CFE07671BCB7}" name="Centro"/>
    <tableColumn id="7" xr3:uid="{E37282DC-D544-41CD-B089-962517C29F45}" name="Deposito"/>
    <tableColumn id="8" xr3:uid="{9EE13A8A-8F27-4BEF-9589-B3E3F5EA15A3}" name="Quantidade"/>
    <tableColumn id="9" xr3:uid="{8DF0495C-1961-4AD8-B284-99B3AF8D9790}" name="UM"/>
    <tableColumn id="10" xr3:uid="{8F5F4E78-9076-4A82-9697-0D2F82D0E471}" name="Valor Unitario"/>
    <tableColumn id="11" xr3:uid="{746F5F34-79F2-499B-901F-0B955D544970}" name="Valor Total"/>
    <tableColumn id="12" xr3:uid="{3E1C63D9-9DFD-4981-9872-36C1649E55D9}" name="Referencia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EABF31-5DFD-4F42-9880-EDE8665CE5B5}" name="Tabela1" displayName="Tabela1" ref="A1:G31" totalsRowShown="0" headerRowDxfId="21" headerRowBorderDxfId="23" tableBorderDxfId="24">
  <autoFilter ref="A1:G31" xr:uid="{F4EABF31-5DFD-4F42-9880-EDE8665CE5B5}"/>
  <tableColumns count="7">
    <tableColumn id="1" xr3:uid="{4D11AC13-5601-416B-B4D3-D6DAB733DB9D}" name="Codigo Material"/>
    <tableColumn id="2" xr3:uid="{DDA718F3-548D-4974-9866-A893E29603C3}" name="Nome do Material">
      <calculatedColumnFormula>IFERROR(INDEX(Materiais!$B:$B,MATCH(A2,Materiais!$A:$A,0)),"")</calculatedColumnFormula>
    </tableColumn>
    <tableColumn id="3" xr3:uid="{356206AE-099A-4BCA-A211-FF9F7146BB80}" name="Numero RC"/>
    <tableColumn id="4" xr3:uid="{7F3BEAC0-3FFC-48E7-85C8-90802646C386}" name="Data" dataDxfId="22"/>
    <tableColumn id="5" xr3:uid="{575AC0C1-EC20-43AD-98C5-5116C50A340D}" name="Quantidade"/>
    <tableColumn id="6" xr3:uid="{DCF341E5-FF45-4118-BD0E-44D73DFF8719}" name="Status"/>
    <tableColumn id="7" xr3:uid="{4130B9BC-18A4-46B3-9222-ABD801BD10F9}" name="Dias em Aberto">
      <calculatedColumnFormula>IF(F2="Convertida","-",TODAY()-D2)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A2D5B2-DFB1-4FB9-8CAA-D31E33F8564D}" name="Tabela3" displayName="Tabela3" ref="A1:N31" totalsRowShown="0" headerRowDxfId="13" headerRowBorderDxfId="19" tableBorderDxfId="20">
  <autoFilter ref="A1:N31" xr:uid="{2BA2D5B2-DFB1-4FB9-8CAA-D31E33F8564D}"/>
  <sortState xmlns:xlrd2="http://schemas.microsoft.com/office/spreadsheetml/2017/richdata2" ref="A2:N31">
    <sortCondition ref="C1:C31"/>
  </sortState>
  <tableColumns count="14">
    <tableColumn id="1" xr3:uid="{DDA860AE-2AF9-443B-AAE7-EBCE9658E3A8}" name="Codigo Material"/>
    <tableColumn id="2" xr3:uid="{520B12F4-AB0F-4589-99EE-957CB840F599}" name="Nome do Material">
      <calculatedColumnFormula>IFERROR(INDEX(Materiais!$B:$B,MATCH(A2,Materiais!$A:$A,0)),"")</calculatedColumnFormula>
    </tableColumn>
    <tableColumn id="3" xr3:uid="{E284A7EA-5B11-428C-9128-21A7F72F904C}" name="Numero OC"/>
    <tableColumn id="4" xr3:uid="{FE1593BB-94E4-4A32-9D5D-35092C713091}" name="Data Emissao" dataDxfId="18"/>
    <tableColumn id="5" xr3:uid="{B64C93FD-5EFD-4581-A04D-AA180286BF1D}" name="Fornecedor (Cod)"/>
    <tableColumn id="6" xr3:uid="{D8BA6142-27B6-4433-A54A-DA693F66ABEB}" name="Nome do Fornecedor">
      <calculatedColumnFormula>IFERROR(INDEX(Fornecedores!$B:$B,MATCH(E2,Fornecedores!$A:$A,0)),"")</calculatedColumnFormula>
    </tableColumn>
    <tableColumn id="7" xr3:uid="{5443CDF5-4DAF-4EF2-8017-C3E2B0AABF95}" name="Quantidade"/>
    <tableColumn id="8" xr3:uid="{2B49734A-2DEA-4D7C-97AD-EECFE06BECD1}" name="Valor Unitario (R$)" dataDxfId="17">
      <calculatedColumnFormula>IFERROR(INDEX(Materiais!$F:$F,MATCH(A2,Materiais!$A:$A,0)),0)</calculatedColumnFormula>
    </tableColumn>
    <tableColumn id="9" xr3:uid="{E8A93AE4-06A8-4634-B72B-F38C5385413E}" name="Valor Total (R$)" dataDxfId="16">
      <calculatedColumnFormula>G2*H2</calculatedColumnFormula>
    </tableColumn>
    <tableColumn id="10" xr3:uid="{FB4DCD65-1588-412F-8DD7-7916962AE5A1}" name="Data Prevista" dataDxfId="15"/>
    <tableColumn id="11" xr3:uid="{DA722937-B939-4D1C-B20A-9E24C71B8B14}" name="Data Recebimento" dataDxfId="14"/>
    <tableColumn id="12" xr3:uid="{9F97E10C-DDDC-43E4-A0AD-976FE4707928}" name="Status">
      <calculatedColumnFormula>IF(K2&lt;&gt;"","Recebido",IF(TODAY()&gt;J2,"Atrasado","Em Transito"))</calculatedColumnFormula>
    </tableColumn>
    <tableColumn id="13" xr3:uid="{240BC0BC-31EE-4A31-9715-8164BBE00A58}" name="Situacao Entrega">
      <calculatedColumnFormula>IF(K2="","-",IF(K2&lt;=J2,"No Prazo","Atrasado"))</calculatedColumnFormula>
    </tableColumn>
    <tableColumn id="14" xr3:uid="{53EEEEFB-1A06-4F57-AD8B-092C1158C088}" name="Dias de Atraso">
      <calculatedColumnFormula>IF(K2&lt;&gt;"",MAX(0,K2-J2),IF(TODAY()&gt;J2,TODAY()-J2,0))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showGridLines="0" zoomScaleNormal="100" workbookViewId="0">
      <selection sqref="A1:F1"/>
    </sheetView>
  </sheetViews>
  <sheetFormatPr defaultColWidth="8.7109375" defaultRowHeight="15" x14ac:dyDescent="0.25"/>
  <cols>
    <col min="1" max="1" width="20" customWidth="1"/>
    <col min="2" max="2" width="95" customWidth="1"/>
  </cols>
  <sheetData>
    <row r="1" spans="1:6" ht="30" customHeight="1" x14ac:dyDescent="0.25">
      <c r="A1" s="14" t="s">
        <v>0</v>
      </c>
      <c r="B1" s="14"/>
      <c r="C1" s="14"/>
      <c r="D1" s="14"/>
      <c r="E1" s="14"/>
      <c r="F1" s="14"/>
    </row>
    <row r="2" spans="1:6" ht="6" customHeight="1" x14ac:dyDescent="0.25">
      <c r="A2" s="15"/>
      <c r="B2" s="16"/>
    </row>
    <row r="3" spans="1:6" ht="30" customHeight="1" x14ac:dyDescent="0.25">
      <c r="A3" s="17" t="s">
        <v>1</v>
      </c>
      <c r="B3" s="18" t="s">
        <v>2</v>
      </c>
    </row>
    <row r="4" spans="1:6" ht="30" customHeight="1" x14ac:dyDescent="0.25">
      <c r="A4" s="15" t="s">
        <v>3</v>
      </c>
      <c r="B4" s="16" t="s">
        <v>4</v>
      </c>
    </row>
    <row r="5" spans="1:6" ht="30" customHeight="1" x14ac:dyDescent="0.25">
      <c r="A5" s="15" t="s">
        <v>5</v>
      </c>
      <c r="B5" s="16" t="s">
        <v>6</v>
      </c>
    </row>
    <row r="6" spans="1:6" ht="30" customHeight="1" x14ac:dyDescent="0.25">
      <c r="A6" s="15" t="s">
        <v>7</v>
      </c>
      <c r="B6" s="16" t="s">
        <v>8</v>
      </c>
    </row>
    <row r="7" spans="1:6" ht="30" customHeight="1" x14ac:dyDescent="0.25">
      <c r="A7" s="15" t="s">
        <v>9</v>
      </c>
      <c r="B7" s="16" t="s">
        <v>10</v>
      </c>
    </row>
    <row r="8" spans="1:6" ht="30" customHeight="1" x14ac:dyDescent="0.25">
      <c r="A8" s="15" t="s">
        <v>11</v>
      </c>
      <c r="B8" s="16" t="s">
        <v>12</v>
      </c>
    </row>
    <row r="9" spans="1:6" ht="30" customHeight="1" x14ac:dyDescent="0.25">
      <c r="A9" s="15" t="s">
        <v>13</v>
      </c>
      <c r="B9" s="16" t="s">
        <v>14</v>
      </c>
    </row>
    <row r="10" spans="1:6" ht="30" customHeight="1" x14ac:dyDescent="0.25">
      <c r="A10" s="15" t="s">
        <v>15</v>
      </c>
      <c r="B10" s="16" t="s">
        <v>16</v>
      </c>
    </row>
    <row r="11" spans="1:6" ht="6" customHeight="1" x14ac:dyDescent="0.25">
      <c r="A11" s="15"/>
      <c r="B11" s="16"/>
    </row>
    <row r="12" spans="1:6" x14ac:dyDescent="0.25">
      <c r="A12" s="17" t="s">
        <v>17</v>
      </c>
      <c r="B12" s="18"/>
    </row>
    <row r="13" spans="1:6" ht="30" customHeight="1" x14ac:dyDescent="0.25">
      <c r="A13" s="15" t="s">
        <v>18</v>
      </c>
      <c r="B13" s="16" t="s">
        <v>19</v>
      </c>
    </row>
    <row r="14" spans="1:6" ht="30" customHeight="1" x14ac:dyDescent="0.25">
      <c r="A14" s="15" t="s">
        <v>20</v>
      </c>
      <c r="B14" s="16" t="s">
        <v>21</v>
      </c>
    </row>
    <row r="15" spans="1:6" ht="30" customHeight="1" x14ac:dyDescent="0.25">
      <c r="A15" s="15" t="s">
        <v>22</v>
      </c>
      <c r="B15" s="16" t="s">
        <v>23</v>
      </c>
    </row>
    <row r="16" spans="1:6" ht="30" customHeight="1" x14ac:dyDescent="0.25">
      <c r="A16" s="15" t="s">
        <v>24</v>
      </c>
      <c r="B16" s="16" t="s">
        <v>25</v>
      </c>
    </row>
    <row r="17" spans="1:2" ht="6" customHeight="1" x14ac:dyDescent="0.25">
      <c r="A17" s="15"/>
      <c r="B17" s="16"/>
    </row>
    <row r="18" spans="1:2" ht="30" customHeight="1" x14ac:dyDescent="0.25">
      <c r="A18" s="15" t="s">
        <v>26</v>
      </c>
      <c r="B18" s="16" t="s">
        <v>27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7"/>
  <sheetViews>
    <sheetView showGridLines="0" topLeftCell="E1" zoomScaleNormal="100" workbookViewId="0">
      <selection activeCell="I8" sqref="I8:J9"/>
    </sheetView>
  </sheetViews>
  <sheetFormatPr defaultColWidth="8.7109375" defaultRowHeight="15" x14ac:dyDescent="0.25"/>
  <cols>
    <col min="1" max="3" width="10.5703125" customWidth="1"/>
    <col min="4" max="4" width="42.42578125" customWidth="1"/>
    <col min="5" max="7" width="10.5703125" customWidth="1"/>
    <col min="8" max="8" width="41" customWidth="1"/>
    <col min="9" max="14" width="10.5703125" customWidth="1"/>
  </cols>
  <sheetData>
    <row r="1" spans="1:14" ht="33.75" customHeight="1" x14ac:dyDescent="0.25">
      <c r="A1" s="13" t="s">
        <v>28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8" customHeight="1" x14ac:dyDescent="0.25">
      <c r="A2" s="12" t="s">
        <v>29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4" spans="1:14" ht="15" customHeight="1" x14ac:dyDescent="0.25">
      <c r="A4" s="11" t="s">
        <v>30</v>
      </c>
      <c r="B4" s="11"/>
      <c r="C4" s="10" t="s">
        <v>31</v>
      </c>
      <c r="D4" s="10"/>
      <c r="E4" s="9" t="s">
        <v>32</v>
      </c>
      <c r="F4" s="9"/>
      <c r="G4" s="8" t="s">
        <v>33</v>
      </c>
      <c r="H4" s="8"/>
      <c r="I4" s="7" t="s">
        <v>34</v>
      </c>
      <c r="J4" s="7"/>
      <c r="K4" s="8" t="s">
        <v>35</v>
      </c>
      <c r="L4" s="8"/>
    </row>
    <row r="5" spans="1:14" ht="15" customHeight="1" x14ac:dyDescent="0.25">
      <c r="A5" s="6">
        <f>SUM(Materiais!P2:P46)</f>
        <v>558435.5</v>
      </c>
      <c r="B5" s="6"/>
      <c r="C5" s="5">
        <f>COUNTA(Materiais!A2:A46)</f>
        <v>45</v>
      </c>
      <c r="D5" s="5"/>
      <c r="E5" s="4">
        <f>COUNTIF(Materiais!K2:K46,"Critico")</f>
        <v>17</v>
      </c>
      <c r="F5" s="4"/>
      <c r="G5" s="3">
        <f>COUNTIF(Materiais!V2:V46,"Alto")</f>
        <v>17</v>
      </c>
      <c r="H5" s="3"/>
      <c r="I5" s="2">
        <f ca="1">SUMIF(Materiais!T2:T46,"&gt;=90",Materiais!P2:P46)</f>
        <v>558435.5</v>
      </c>
      <c r="J5" s="2"/>
      <c r="K5" s="3">
        <f ca="1">COUNTIF(Pedidos!L2:L31,"Atrasado")</f>
        <v>13</v>
      </c>
      <c r="L5" s="3"/>
    </row>
    <row r="6" spans="1:14" ht="15" customHeight="1" x14ac:dyDescent="0.25">
      <c r="A6" s="6"/>
      <c r="B6" s="6"/>
      <c r="C6" s="5"/>
      <c r="D6" s="5"/>
      <c r="E6" s="4"/>
      <c r="F6" s="4"/>
      <c r="G6" s="3"/>
      <c r="H6" s="3"/>
      <c r="I6" s="2"/>
      <c r="J6" s="2"/>
      <c r="K6" s="3"/>
      <c r="L6" s="3"/>
    </row>
    <row r="7" spans="1:14" ht="15" customHeight="1" x14ac:dyDescent="0.25">
      <c r="A7" s="11" t="s">
        <v>36</v>
      </c>
      <c r="B7" s="11"/>
      <c r="C7" s="10" t="s">
        <v>37</v>
      </c>
      <c r="D7" s="10"/>
      <c r="E7" s="9" t="s">
        <v>38</v>
      </c>
      <c r="F7" s="9"/>
      <c r="G7" s="1" t="s">
        <v>39</v>
      </c>
      <c r="H7" s="1"/>
      <c r="I7" s="7" t="s">
        <v>40</v>
      </c>
      <c r="J7" s="7"/>
      <c r="K7" s="8" t="s">
        <v>41</v>
      </c>
      <c r="L7" s="8"/>
    </row>
    <row r="8" spans="1:14" ht="15" customHeight="1" x14ac:dyDescent="0.25">
      <c r="A8" s="27">
        <f>COUNTIF(Requisicoes!F2:F31,"Pendente")</f>
        <v>8</v>
      </c>
      <c r="B8" s="27"/>
      <c r="C8" s="5">
        <f ca="1">COUNTIFS(Pedidos!L2:L31,"&lt;&gt;Recebido")</f>
        <v>14</v>
      </c>
      <c r="D8" s="5"/>
      <c r="E8" s="4" t="str">
        <f>ROUND(AVERAGE(Fornecedores!D2:D9),0)&amp;" dias"</f>
        <v>16 dias</v>
      </c>
      <c r="F8" s="4"/>
      <c r="G8" s="28" t="str">
        <f>ROUND(AVERAGE(Materiais!R2:R46),1)&amp;"x/ano"</f>
        <v>0x/ano</v>
      </c>
      <c r="H8" s="28"/>
      <c r="I8" s="29">
        <f ca="1">ROUND(AVERAGE(Fornecedores!H2:H9),3)</f>
        <v>0.21299999999999999</v>
      </c>
      <c r="J8" s="29"/>
      <c r="K8" s="30">
        <f ca="1">SUMIF(Pedidos!L2:L31,"&lt;&gt;Recebido",Pedidos!I2:I31)</f>
        <v>714853.2</v>
      </c>
      <c r="L8" s="30"/>
    </row>
    <row r="9" spans="1:14" ht="15" customHeight="1" x14ac:dyDescent="0.25">
      <c r="A9" s="27"/>
      <c r="B9" s="27"/>
      <c r="C9" s="5"/>
      <c r="D9" s="5"/>
      <c r="E9" s="4"/>
      <c r="F9" s="4"/>
      <c r="G9" s="28"/>
      <c r="H9" s="28"/>
      <c r="I9" s="29"/>
      <c r="J9" s="29"/>
      <c r="K9" s="30"/>
      <c r="L9" s="30"/>
    </row>
    <row r="10" spans="1:14" ht="7.5" customHeight="1" x14ac:dyDescent="0.25"/>
    <row r="47" spans="1:14" ht="15" customHeight="1" x14ac:dyDescent="0.25">
      <c r="A47" s="31" t="s">
        <v>42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</row>
  </sheetData>
  <mergeCells count="27">
    <mergeCell ref="K8:L9"/>
    <mergeCell ref="A47:N47"/>
    <mergeCell ref="A8:B9"/>
    <mergeCell ref="C8:D9"/>
    <mergeCell ref="E8:F9"/>
    <mergeCell ref="G8:H9"/>
    <mergeCell ref="I8:J9"/>
    <mergeCell ref="K5:L6"/>
    <mergeCell ref="A7:B7"/>
    <mergeCell ref="C7:D7"/>
    <mergeCell ref="E7:F7"/>
    <mergeCell ref="G7:H7"/>
    <mergeCell ref="I7:J7"/>
    <mergeCell ref="K7:L7"/>
    <mergeCell ref="A5:B6"/>
    <mergeCell ref="C5:D6"/>
    <mergeCell ref="E5:F6"/>
    <mergeCell ref="G5:H6"/>
    <mergeCell ref="I5:J6"/>
    <mergeCell ref="A1:N1"/>
    <mergeCell ref="A2:N2"/>
    <mergeCell ref="A4:B4"/>
    <mergeCell ref="C4:D4"/>
    <mergeCell ref="E4:F4"/>
    <mergeCell ref="G4:H4"/>
    <mergeCell ref="I4:J4"/>
    <mergeCell ref="K4:L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6"/>
  <sheetViews>
    <sheetView topLeftCell="J1" zoomScaleNormal="100" workbookViewId="0">
      <pane ySplit="1" topLeftCell="A2" activePane="bottomLeft" state="frozen"/>
      <selection pane="bottomLeft" activeCell="M2" sqref="M2"/>
    </sheetView>
  </sheetViews>
  <sheetFormatPr defaultColWidth="8.7109375" defaultRowHeight="15" x14ac:dyDescent="0.25"/>
  <cols>
    <col min="1" max="1" width="14" customWidth="1"/>
    <col min="2" max="2" width="30" customWidth="1"/>
    <col min="3" max="3" width="18" customWidth="1"/>
    <col min="4" max="4" width="9" customWidth="1"/>
    <col min="5" max="5" width="11" customWidth="1"/>
    <col min="6" max="6" width="16" customWidth="1"/>
    <col min="7" max="7" width="11" customWidth="1"/>
    <col min="8" max="9" width="13" customWidth="1"/>
    <col min="10" max="12" width="12" customWidth="1"/>
    <col min="13" max="13" width="16" customWidth="1"/>
    <col min="14" max="15" width="15" customWidth="1"/>
    <col min="16" max="16" width="17" customWidth="1"/>
    <col min="17" max="17" width="13" customWidth="1"/>
    <col min="18" max="18" width="11" customWidth="1"/>
    <col min="19" max="20" width="16" customWidth="1"/>
    <col min="21" max="21" width="18" customWidth="1"/>
    <col min="22" max="23" width="15" customWidth="1"/>
    <col min="24" max="24" width="11" customWidth="1"/>
  </cols>
  <sheetData>
    <row r="1" spans="1:24" ht="27.75" customHeight="1" x14ac:dyDescent="0.25">
      <c r="A1" s="19" t="s">
        <v>43</v>
      </c>
      <c r="B1" s="19" t="s">
        <v>44</v>
      </c>
      <c r="C1" s="19" t="s">
        <v>45</v>
      </c>
      <c r="D1" s="19" t="s">
        <v>46</v>
      </c>
      <c r="E1" s="19" t="s">
        <v>47</v>
      </c>
      <c r="F1" s="19" t="s">
        <v>48</v>
      </c>
      <c r="G1" s="19" t="s">
        <v>49</v>
      </c>
      <c r="H1" s="19" t="s">
        <v>50</v>
      </c>
      <c r="I1" s="19" t="s">
        <v>51</v>
      </c>
      <c r="J1" s="19" t="s">
        <v>52</v>
      </c>
      <c r="K1" s="19" t="s">
        <v>53</v>
      </c>
      <c r="L1" s="19" t="s">
        <v>54</v>
      </c>
      <c r="M1" s="19" t="s">
        <v>55</v>
      </c>
      <c r="N1" s="19" t="s">
        <v>56</v>
      </c>
      <c r="O1" s="19" t="s">
        <v>57</v>
      </c>
      <c r="P1" s="19" t="s">
        <v>58</v>
      </c>
      <c r="Q1" s="19" t="s">
        <v>59</v>
      </c>
      <c r="R1" s="19" t="s">
        <v>60</v>
      </c>
      <c r="S1" s="19" t="s">
        <v>61</v>
      </c>
      <c r="T1" s="19" t="s">
        <v>62</v>
      </c>
      <c r="U1" s="19" t="s">
        <v>63</v>
      </c>
      <c r="V1" s="19" t="s">
        <v>64</v>
      </c>
      <c r="W1" s="19" t="s">
        <v>65</v>
      </c>
      <c r="X1" s="19" t="s">
        <v>66</v>
      </c>
    </row>
    <row r="2" spans="1:24" ht="15" customHeight="1" x14ac:dyDescent="0.25">
      <c r="A2" t="s">
        <v>67</v>
      </c>
      <c r="B2" t="s">
        <v>68</v>
      </c>
      <c r="C2" t="s">
        <v>69</v>
      </c>
      <c r="D2" t="s">
        <v>70</v>
      </c>
      <c r="E2" t="s">
        <v>71</v>
      </c>
      <c r="F2" s="20">
        <v>18500</v>
      </c>
      <c r="G2" s="21">
        <v>0</v>
      </c>
      <c r="H2" s="21">
        <v>1</v>
      </c>
      <c r="I2" s="21">
        <v>3</v>
      </c>
      <c r="J2" t="s">
        <v>72</v>
      </c>
      <c r="K2" t="s">
        <v>73</v>
      </c>
      <c r="L2" s="21">
        <f>IFERROR(INDEX(Fornecedores!$D:$D,MATCH(E2,Fornecedores!$A:$A,0)),15)</f>
        <v>30</v>
      </c>
      <c r="M2" s="21" t="e">
        <f>ROUND(SUMIFS(Movimentacoes!#REF!,Movimentacoes!#REF!,A2,Movimentacoes!#REF!,"Saida")/6,1)</f>
        <v>#REF!</v>
      </c>
      <c r="N2" s="21" t="e">
        <f t="shared" ref="N2:N46" si="0">ROUND(M2/30,2)</f>
        <v>#REF!</v>
      </c>
      <c r="O2" t="e">
        <f t="shared" ref="O2:O46" si="1">ROUND(H2+N2*L2,0)</f>
        <v>#REF!</v>
      </c>
      <c r="P2" s="20">
        <f t="shared" ref="P2:P46" si="2">G2*F2</f>
        <v>0</v>
      </c>
      <c r="Q2" s="21">
        <f t="shared" ref="Q2:Q46" si="3">IFERROR(ROUND(G2/N2,1),0)</f>
        <v>0</v>
      </c>
      <c r="R2" s="21">
        <f t="shared" ref="R2:R46" si="4">IFERROR(ROUND((M2*12)/((G2+H2)/2),2),0)</f>
        <v>0</v>
      </c>
      <c r="S2" s="22" t="str">
        <f>IFERROR(_xlfn.MAXIFS(Movimentacoes!#REF!,Movimentacoes!#REF!,A2),"")</f>
        <v/>
      </c>
      <c r="T2" s="21">
        <f t="shared" ref="T2:T46" ca="1" si="5">IF(S2="",9999,TODAY()-S2)</f>
        <v>9999</v>
      </c>
      <c r="U2" t="str">
        <f t="shared" ref="U2:U46" si="6">IF(G2&lt;=0,"Ruptura",IF(G2&lt;H2,"Abaixo do Minimo",IF(G2&lt;O2,"Ponto de Reposicao","Normal")))</f>
        <v>Ruptura</v>
      </c>
      <c r="V2" t="str">
        <f t="shared" ref="V2:V46" si="7">IF(AND(K2="Critico",Q2&lt;L2),"Alto",IF(Q2&lt;L2,"Medio","Baixo"))</f>
        <v>Alto</v>
      </c>
      <c r="W2" s="23">
        <f t="shared" ref="W2:W46" si="8">SUMPRODUCT(($P$2:$P$46&gt;=P2)*$P$2:$P$46)/SUM($P$2:$P$46)</f>
        <v>1</v>
      </c>
      <c r="X2" t="str">
        <f t="shared" ref="X2:X46" si="9">IF(W2&lt;=0.7,"A",IF(W2&lt;=0.9,"B","C"))</f>
        <v>C</v>
      </c>
    </row>
    <row r="3" spans="1:24" ht="15" customHeight="1" x14ac:dyDescent="0.25">
      <c r="A3" t="s">
        <v>74</v>
      </c>
      <c r="B3" t="s">
        <v>75</v>
      </c>
      <c r="C3" t="s">
        <v>69</v>
      </c>
      <c r="D3" t="s">
        <v>70</v>
      </c>
      <c r="E3" t="s">
        <v>71</v>
      </c>
      <c r="F3" s="20">
        <v>19800</v>
      </c>
      <c r="G3" s="21">
        <v>0</v>
      </c>
      <c r="H3" s="21">
        <v>1</v>
      </c>
      <c r="I3" s="21">
        <v>3</v>
      </c>
      <c r="J3" t="s">
        <v>76</v>
      </c>
      <c r="K3" t="s">
        <v>73</v>
      </c>
      <c r="L3" s="21">
        <f>IFERROR(INDEX(Fornecedores!$D:$D,MATCH(E3,Fornecedores!$A:$A,0)),15)</f>
        <v>30</v>
      </c>
      <c r="M3" s="21" t="e">
        <f>ROUND(SUMIFS(Movimentacoes!#REF!,Movimentacoes!#REF!,A3,Movimentacoes!#REF!,"Saida")/6,1)</f>
        <v>#REF!</v>
      </c>
      <c r="N3" s="21" t="e">
        <f t="shared" si="0"/>
        <v>#REF!</v>
      </c>
      <c r="O3" t="e">
        <f t="shared" si="1"/>
        <v>#REF!</v>
      </c>
      <c r="P3" s="20">
        <f t="shared" si="2"/>
        <v>0</v>
      </c>
      <c r="Q3" s="21">
        <f t="shared" si="3"/>
        <v>0</v>
      </c>
      <c r="R3" s="21">
        <f t="shared" si="4"/>
        <v>0</v>
      </c>
      <c r="S3" s="22" t="str">
        <f>IFERROR(_xlfn.MAXIFS(Movimentacoes!#REF!,Movimentacoes!#REF!,A3),"")</f>
        <v/>
      </c>
      <c r="T3" s="21">
        <f t="shared" ca="1" si="5"/>
        <v>9999</v>
      </c>
      <c r="U3" t="str">
        <f t="shared" si="6"/>
        <v>Ruptura</v>
      </c>
      <c r="V3" t="str">
        <f t="shared" si="7"/>
        <v>Alto</v>
      </c>
      <c r="W3" s="23">
        <f t="shared" si="8"/>
        <v>1</v>
      </c>
      <c r="X3" t="str">
        <f t="shared" si="9"/>
        <v>C</v>
      </c>
    </row>
    <row r="4" spans="1:24" ht="15" customHeight="1" x14ac:dyDescent="0.25">
      <c r="A4" t="s">
        <v>77</v>
      </c>
      <c r="B4" t="s">
        <v>78</v>
      </c>
      <c r="C4" t="s">
        <v>79</v>
      </c>
      <c r="D4" t="s">
        <v>70</v>
      </c>
      <c r="E4" t="s">
        <v>71</v>
      </c>
      <c r="F4" s="20">
        <v>12400</v>
      </c>
      <c r="G4" s="21">
        <v>2</v>
      </c>
      <c r="H4" s="21">
        <v>2</v>
      </c>
      <c r="I4" s="21">
        <v>6</v>
      </c>
      <c r="J4" t="s">
        <v>80</v>
      </c>
      <c r="K4" t="s">
        <v>73</v>
      </c>
      <c r="L4" s="21">
        <f>IFERROR(INDEX(Fornecedores!$D:$D,MATCH(E4,Fornecedores!$A:$A,0)),15)</f>
        <v>30</v>
      </c>
      <c r="M4" s="21" t="e">
        <f>ROUND(SUMIFS(Movimentacoes!#REF!,Movimentacoes!#REF!,A4,Movimentacoes!#REF!,"Saida")/6,1)</f>
        <v>#REF!</v>
      </c>
      <c r="N4" s="21" t="e">
        <f t="shared" si="0"/>
        <v>#REF!</v>
      </c>
      <c r="O4" t="e">
        <f t="shared" si="1"/>
        <v>#REF!</v>
      </c>
      <c r="P4" s="20">
        <f t="shared" si="2"/>
        <v>24800</v>
      </c>
      <c r="Q4" s="21">
        <f t="shared" si="3"/>
        <v>0</v>
      </c>
      <c r="R4" s="21">
        <f t="shared" si="4"/>
        <v>0</v>
      </c>
      <c r="S4" s="22" t="str">
        <f>IFERROR(_xlfn.MAXIFS(Movimentacoes!#REF!,Movimentacoes!#REF!,A4),"")</f>
        <v/>
      </c>
      <c r="T4" s="21">
        <f t="shared" ca="1" si="5"/>
        <v>9999</v>
      </c>
      <c r="U4" t="e">
        <f t="shared" si="6"/>
        <v>#REF!</v>
      </c>
      <c r="V4" t="str">
        <f t="shared" si="7"/>
        <v>Alto</v>
      </c>
      <c r="W4" s="23">
        <f t="shared" si="8"/>
        <v>0.62057301156534639</v>
      </c>
      <c r="X4" t="str">
        <f t="shared" si="9"/>
        <v>A</v>
      </c>
    </row>
    <row r="5" spans="1:24" ht="15" customHeight="1" x14ac:dyDescent="0.25">
      <c r="A5" t="s">
        <v>81</v>
      </c>
      <c r="B5" t="s">
        <v>82</v>
      </c>
      <c r="C5" t="s">
        <v>79</v>
      </c>
      <c r="D5" t="s">
        <v>70</v>
      </c>
      <c r="E5" t="s">
        <v>71</v>
      </c>
      <c r="F5" s="20">
        <v>11800</v>
      </c>
      <c r="G5" s="21">
        <v>4</v>
      </c>
      <c r="H5" s="21">
        <v>2</v>
      </c>
      <c r="I5" s="21">
        <v>6</v>
      </c>
      <c r="J5" t="s">
        <v>83</v>
      </c>
      <c r="K5" t="s">
        <v>73</v>
      </c>
      <c r="L5" s="21">
        <f>IFERROR(INDEX(Fornecedores!$D:$D,MATCH(E5,Fornecedores!$A:$A,0)),15)</f>
        <v>30</v>
      </c>
      <c r="M5" s="21" t="e">
        <f>ROUND(SUMIFS(Movimentacoes!#REF!,Movimentacoes!#REF!,A5,Movimentacoes!#REF!,"Saida")/6,1)</f>
        <v>#REF!</v>
      </c>
      <c r="N5" s="21" t="e">
        <f t="shared" si="0"/>
        <v>#REF!</v>
      </c>
      <c r="O5" t="e">
        <f t="shared" si="1"/>
        <v>#REF!</v>
      </c>
      <c r="P5" s="20">
        <f t="shared" si="2"/>
        <v>47200</v>
      </c>
      <c r="Q5" s="21">
        <f t="shared" si="3"/>
        <v>0</v>
      </c>
      <c r="R5" s="21">
        <f t="shared" si="4"/>
        <v>0</v>
      </c>
      <c r="S5" s="22" t="str">
        <f>IFERROR(_xlfn.MAXIFS(Movimentacoes!#REF!,Movimentacoes!#REF!,A5),"")</f>
        <v/>
      </c>
      <c r="T5" s="21">
        <f t="shared" ca="1" si="5"/>
        <v>9999</v>
      </c>
      <c r="U5" t="e">
        <f t="shared" si="6"/>
        <v>#REF!</v>
      </c>
      <c r="V5" t="str">
        <f t="shared" si="7"/>
        <v>Alto</v>
      </c>
      <c r="W5" s="23">
        <f t="shared" si="8"/>
        <v>0.28866359678064879</v>
      </c>
      <c r="X5" t="str">
        <f t="shared" si="9"/>
        <v>A</v>
      </c>
    </row>
    <row r="6" spans="1:24" ht="15" customHeight="1" x14ac:dyDescent="0.25">
      <c r="A6" t="s">
        <v>84</v>
      </c>
      <c r="B6" t="s">
        <v>85</v>
      </c>
      <c r="C6" t="s">
        <v>79</v>
      </c>
      <c r="D6" t="s">
        <v>70</v>
      </c>
      <c r="E6" t="s">
        <v>86</v>
      </c>
      <c r="F6" s="20">
        <v>3450</v>
      </c>
      <c r="G6" s="21">
        <v>6</v>
      </c>
      <c r="H6" s="21">
        <v>3</v>
      </c>
      <c r="I6" s="21">
        <v>10</v>
      </c>
      <c r="J6" t="s">
        <v>87</v>
      </c>
      <c r="K6" t="s">
        <v>88</v>
      </c>
      <c r="L6" s="21">
        <f>IFERROR(INDEX(Fornecedores!$D:$D,MATCH(E6,Fornecedores!$A:$A,0)),15)</f>
        <v>25</v>
      </c>
      <c r="M6" s="21" t="e">
        <f>ROUND(SUMIFS(Movimentacoes!#REF!,Movimentacoes!#REF!,A6,Movimentacoes!#REF!,"Saida")/6,1)</f>
        <v>#REF!</v>
      </c>
      <c r="N6" s="21" t="e">
        <f t="shared" si="0"/>
        <v>#REF!</v>
      </c>
      <c r="O6" t="e">
        <f t="shared" si="1"/>
        <v>#REF!</v>
      </c>
      <c r="P6" s="20">
        <f t="shared" si="2"/>
        <v>20700</v>
      </c>
      <c r="Q6" s="21">
        <f t="shared" si="3"/>
        <v>0</v>
      </c>
      <c r="R6" s="21">
        <f t="shared" si="4"/>
        <v>0</v>
      </c>
      <c r="S6" s="22" t="str">
        <f>IFERROR(_xlfn.MAXIFS(Movimentacoes!#REF!,Movimentacoes!#REF!,A6),"")</f>
        <v/>
      </c>
      <c r="T6" s="21">
        <f t="shared" ca="1" si="5"/>
        <v>9999</v>
      </c>
      <c r="U6" t="e">
        <f t="shared" si="6"/>
        <v>#REF!</v>
      </c>
      <c r="V6" t="str">
        <f t="shared" si="7"/>
        <v>Medio</v>
      </c>
      <c r="W6" s="23">
        <f t="shared" si="8"/>
        <v>0.73671892277622031</v>
      </c>
      <c r="X6" t="str">
        <f t="shared" si="9"/>
        <v>B</v>
      </c>
    </row>
    <row r="7" spans="1:24" ht="15" customHeight="1" x14ac:dyDescent="0.25">
      <c r="A7" t="s">
        <v>89</v>
      </c>
      <c r="B7" t="s">
        <v>90</v>
      </c>
      <c r="C7" t="s">
        <v>79</v>
      </c>
      <c r="D7" t="s">
        <v>70</v>
      </c>
      <c r="E7" t="s">
        <v>86</v>
      </c>
      <c r="F7" s="20">
        <v>2870</v>
      </c>
      <c r="G7" s="21">
        <v>8</v>
      </c>
      <c r="H7" s="21">
        <v>3</v>
      </c>
      <c r="I7" s="21">
        <v>12</v>
      </c>
      <c r="J7" t="s">
        <v>91</v>
      </c>
      <c r="K7" t="s">
        <v>88</v>
      </c>
      <c r="L7" s="21">
        <f>IFERROR(INDEX(Fornecedores!$D:$D,MATCH(E7,Fornecedores!$A:$A,0)),15)</f>
        <v>25</v>
      </c>
      <c r="M7" s="21" t="e">
        <f>ROUND(SUMIFS(Movimentacoes!#REF!,Movimentacoes!#REF!,A7,Movimentacoes!#REF!,"Saida")/6,1)</f>
        <v>#REF!</v>
      </c>
      <c r="N7" s="21" t="e">
        <f t="shared" si="0"/>
        <v>#REF!</v>
      </c>
      <c r="O7" t="e">
        <f t="shared" si="1"/>
        <v>#REF!</v>
      </c>
      <c r="P7" s="20">
        <f t="shared" si="2"/>
        <v>22960</v>
      </c>
      <c r="Q7" s="21">
        <f t="shared" si="3"/>
        <v>0</v>
      </c>
      <c r="R7" s="21">
        <f t="shared" si="4"/>
        <v>0</v>
      </c>
      <c r="S7" s="22" t="str">
        <f>IFERROR(_xlfn.MAXIFS(Movimentacoes!#REF!,Movimentacoes!#REF!,A7),"")</f>
        <v/>
      </c>
      <c r="T7" s="21">
        <f t="shared" ca="1" si="5"/>
        <v>9999</v>
      </c>
      <c r="U7" t="e">
        <f t="shared" si="6"/>
        <v>#REF!</v>
      </c>
      <c r="V7" t="str">
        <f t="shared" si="7"/>
        <v>Medio</v>
      </c>
      <c r="W7" s="23">
        <f t="shared" si="8"/>
        <v>0.66168787621847103</v>
      </c>
      <c r="X7" t="str">
        <f t="shared" si="9"/>
        <v>A</v>
      </c>
    </row>
    <row r="8" spans="1:24" ht="15" customHeight="1" x14ac:dyDescent="0.25">
      <c r="A8" t="s">
        <v>92</v>
      </c>
      <c r="B8" t="s">
        <v>93</v>
      </c>
      <c r="C8" t="s">
        <v>79</v>
      </c>
      <c r="D8" t="s">
        <v>70</v>
      </c>
      <c r="E8" t="s">
        <v>86</v>
      </c>
      <c r="F8" s="20">
        <v>1980</v>
      </c>
      <c r="G8" s="21">
        <v>15</v>
      </c>
      <c r="H8" s="21">
        <v>4</v>
      </c>
      <c r="I8" s="21">
        <v>15</v>
      </c>
      <c r="J8" t="s">
        <v>94</v>
      </c>
      <c r="K8" t="s">
        <v>88</v>
      </c>
      <c r="L8" s="21">
        <f>IFERROR(INDEX(Fornecedores!$D:$D,MATCH(E8,Fornecedores!$A:$A,0)),15)</f>
        <v>25</v>
      </c>
      <c r="M8" s="21" t="e">
        <f>ROUND(SUMIFS(Movimentacoes!#REF!,Movimentacoes!#REF!,A8,Movimentacoes!#REF!,"Saida")/6,1)</f>
        <v>#REF!</v>
      </c>
      <c r="N8" s="21" t="e">
        <f t="shared" si="0"/>
        <v>#REF!</v>
      </c>
      <c r="O8" t="e">
        <f t="shared" si="1"/>
        <v>#REF!</v>
      </c>
      <c r="P8" s="20">
        <f t="shared" si="2"/>
        <v>29700</v>
      </c>
      <c r="Q8" s="21">
        <f t="shared" si="3"/>
        <v>0</v>
      </c>
      <c r="R8" s="21">
        <f t="shared" si="4"/>
        <v>0</v>
      </c>
      <c r="S8" s="22" t="str">
        <f>IFERROR(_xlfn.MAXIFS(Movimentacoes!#REF!,Movimentacoes!#REF!,A8),"")</f>
        <v/>
      </c>
      <c r="T8" s="21">
        <f t="shared" ca="1" si="5"/>
        <v>9999</v>
      </c>
      <c r="U8" t="e">
        <f t="shared" si="6"/>
        <v>#REF!</v>
      </c>
      <c r="V8" t="str">
        <f t="shared" si="7"/>
        <v>Medio</v>
      </c>
      <c r="W8" s="23">
        <f t="shared" si="8"/>
        <v>0.52593361274489181</v>
      </c>
      <c r="X8" t="str">
        <f t="shared" si="9"/>
        <v>A</v>
      </c>
    </row>
    <row r="9" spans="1:24" ht="15" customHeight="1" x14ac:dyDescent="0.25">
      <c r="A9" t="s">
        <v>95</v>
      </c>
      <c r="B9" t="s">
        <v>96</v>
      </c>
      <c r="C9" t="s">
        <v>69</v>
      </c>
      <c r="D9" t="s">
        <v>70</v>
      </c>
      <c r="E9" t="s">
        <v>71</v>
      </c>
      <c r="F9" s="20">
        <v>24500</v>
      </c>
      <c r="G9" s="21">
        <v>2</v>
      </c>
      <c r="H9" s="21">
        <v>1</v>
      </c>
      <c r="I9" s="21">
        <v>2</v>
      </c>
      <c r="J9" t="s">
        <v>97</v>
      </c>
      <c r="K9" t="s">
        <v>73</v>
      </c>
      <c r="L9" s="21">
        <f>IFERROR(INDEX(Fornecedores!$D:$D,MATCH(E9,Fornecedores!$A:$A,0)),15)</f>
        <v>30</v>
      </c>
      <c r="M9" s="21" t="e">
        <f>ROUND(SUMIFS(Movimentacoes!#REF!,Movimentacoes!#REF!,A9,Movimentacoes!#REF!,"Saida")/6,1)</f>
        <v>#REF!</v>
      </c>
      <c r="N9" s="21" t="e">
        <f t="shared" si="0"/>
        <v>#REF!</v>
      </c>
      <c r="O9" t="e">
        <f t="shared" si="1"/>
        <v>#REF!</v>
      </c>
      <c r="P9" s="20">
        <f t="shared" si="2"/>
        <v>49000</v>
      </c>
      <c r="Q9" s="21">
        <f t="shared" si="3"/>
        <v>0</v>
      </c>
      <c r="R9" s="21">
        <f t="shared" si="4"/>
        <v>0</v>
      </c>
      <c r="S9" s="22" t="str">
        <f>IFERROR(_xlfn.MAXIFS(Movimentacoes!#REF!,Movimentacoes!#REF!,A9),"")</f>
        <v/>
      </c>
      <c r="T9" s="21">
        <f t="shared" ca="1" si="5"/>
        <v>9999</v>
      </c>
      <c r="U9" t="e">
        <f t="shared" si="6"/>
        <v>#REF!</v>
      </c>
      <c r="V9" t="str">
        <f t="shared" si="7"/>
        <v>Alto</v>
      </c>
      <c r="W9" s="23">
        <f t="shared" si="8"/>
        <v>0.20414174958432979</v>
      </c>
      <c r="X9" t="str">
        <f t="shared" si="9"/>
        <v>A</v>
      </c>
    </row>
    <row r="10" spans="1:24" ht="15" customHeight="1" x14ac:dyDescent="0.25">
      <c r="A10" t="s">
        <v>98</v>
      </c>
      <c r="B10" t="s">
        <v>99</v>
      </c>
      <c r="C10" t="s">
        <v>69</v>
      </c>
      <c r="D10" t="s">
        <v>70</v>
      </c>
      <c r="E10" t="s">
        <v>100</v>
      </c>
      <c r="F10" s="20">
        <v>1650</v>
      </c>
      <c r="G10" s="21">
        <v>17</v>
      </c>
      <c r="H10" s="21">
        <v>4</v>
      </c>
      <c r="I10" s="21">
        <v>12</v>
      </c>
      <c r="J10" t="s">
        <v>101</v>
      </c>
      <c r="K10" t="s">
        <v>73</v>
      </c>
      <c r="L10" s="21">
        <f>IFERROR(INDEX(Fornecedores!$D:$D,MATCH(E10,Fornecedores!$A:$A,0)),15)</f>
        <v>8</v>
      </c>
      <c r="M10" s="21" t="e">
        <f>ROUND(SUMIFS(Movimentacoes!#REF!,Movimentacoes!#REF!,A10,Movimentacoes!#REF!,"Saida")/6,1)</f>
        <v>#REF!</v>
      </c>
      <c r="N10" s="21" t="e">
        <f t="shared" si="0"/>
        <v>#REF!</v>
      </c>
      <c r="O10" t="e">
        <f t="shared" si="1"/>
        <v>#REF!</v>
      </c>
      <c r="P10" s="20">
        <f t="shared" si="2"/>
        <v>28050</v>
      </c>
      <c r="Q10" s="21">
        <f t="shared" si="3"/>
        <v>0</v>
      </c>
      <c r="R10" s="21">
        <f t="shared" si="4"/>
        <v>0</v>
      </c>
      <c r="S10" s="22" t="str">
        <f>IFERROR(_xlfn.MAXIFS(Movimentacoes!#REF!,Movimentacoes!#REF!,A10),"")</f>
        <v/>
      </c>
      <c r="T10" s="21">
        <f t="shared" ca="1" si="5"/>
        <v>9999</v>
      </c>
      <c r="U10" t="e">
        <f t="shared" si="6"/>
        <v>#REF!</v>
      </c>
      <c r="V10" t="str">
        <f t="shared" si="7"/>
        <v>Alto</v>
      </c>
      <c r="W10" s="23">
        <f t="shared" si="8"/>
        <v>0.57616322744524662</v>
      </c>
      <c r="X10" t="str">
        <f t="shared" si="9"/>
        <v>A</v>
      </c>
    </row>
    <row r="11" spans="1:24" ht="15" customHeight="1" x14ac:dyDescent="0.25">
      <c r="A11" t="s">
        <v>102</v>
      </c>
      <c r="B11" t="s">
        <v>103</v>
      </c>
      <c r="C11" t="s">
        <v>69</v>
      </c>
      <c r="D11" t="s">
        <v>70</v>
      </c>
      <c r="E11" t="s">
        <v>100</v>
      </c>
      <c r="F11" s="20">
        <v>2150</v>
      </c>
      <c r="G11" s="21">
        <v>0</v>
      </c>
      <c r="H11" s="21">
        <v>3</v>
      </c>
      <c r="I11" s="21">
        <v>10</v>
      </c>
      <c r="J11" t="s">
        <v>104</v>
      </c>
      <c r="K11" t="s">
        <v>73</v>
      </c>
      <c r="L11" s="21">
        <f>IFERROR(INDEX(Fornecedores!$D:$D,MATCH(E11,Fornecedores!$A:$A,0)),15)</f>
        <v>8</v>
      </c>
      <c r="M11" s="21" t="e">
        <f>ROUND(SUMIFS(Movimentacoes!#REF!,Movimentacoes!#REF!,A11,Movimentacoes!#REF!,"Saida")/6,1)</f>
        <v>#REF!</v>
      </c>
      <c r="N11" s="21" t="e">
        <f t="shared" si="0"/>
        <v>#REF!</v>
      </c>
      <c r="O11" t="e">
        <f t="shared" si="1"/>
        <v>#REF!</v>
      </c>
      <c r="P11" s="20">
        <f t="shared" si="2"/>
        <v>0</v>
      </c>
      <c r="Q11" s="21">
        <f t="shared" si="3"/>
        <v>0</v>
      </c>
      <c r="R11" s="21">
        <f t="shared" si="4"/>
        <v>0</v>
      </c>
      <c r="S11" s="22" t="str">
        <f>IFERROR(_xlfn.MAXIFS(Movimentacoes!#REF!,Movimentacoes!#REF!,A11),"")</f>
        <v/>
      </c>
      <c r="T11" s="21">
        <f t="shared" ca="1" si="5"/>
        <v>9999</v>
      </c>
      <c r="U11" t="str">
        <f t="shared" si="6"/>
        <v>Ruptura</v>
      </c>
      <c r="V11" t="str">
        <f t="shared" si="7"/>
        <v>Alto</v>
      </c>
      <c r="W11" s="23">
        <f t="shared" si="8"/>
        <v>1</v>
      </c>
      <c r="X11" t="str">
        <f t="shared" si="9"/>
        <v>C</v>
      </c>
    </row>
    <row r="12" spans="1:24" ht="15" customHeight="1" x14ac:dyDescent="0.25">
      <c r="A12" t="s">
        <v>105</v>
      </c>
      <c r="B12" t="s">
        <v>106</v>
      </c>
      <c r="C12" t="s">
        <v>69</v>
      </c>
      <c r="D12" t="s">
        <v>70</v>
      </c>
      <c r="E12" t="s">
        <v>71</v>
      </c>
      <c r="F12" s="20">
        <v>9800</v>
      </c>
      <c r="G12" s="21">
        <v>0</v>
      </c>
      <c r="H12" s="21">
        <v>1</v>
      </c>
      <c r="I12" s="21">
        <v>3</v>
      </c>
      <c r="J12" t="s">
        <v>107</v>
      </c>
      <c r="K12" t="s">
        <v>88</v>
      </c>
      <c r="L12" s="21">
        <f>IFERROR(INDEX(Fornecedores!$D:$D,MATCH(E12,Fornecedores!$A:$A,0)),15)</f>
        <v>30</v>
      </c>
      <c r="M12" s="21" t="e">
        <f>ROUND(SUMIFS(Movimentacoes!#REF!,Movimentacoes!#REF!,A12,Movimentacoes!#REF!,"Saida")/6,1)</f>
        <v>#REF!</v>
      </c>
      <c r="N12" s="21" t="e">
        <f t="shared" si="0"/>
        <v>#REF!</v>
      </c>
      <c r="O12" t="e">
        <f t="shared" si="1"/>
        <v>#REF!</v>
      </c>
      <c r="P12" s="20">
        <f t="shared" si="2"/>
        <v>0</v>
      </c>
      <c r="Q12" s="21">
        <f t="shared" si="3"/>
        <v>0</v>
      </c>
      <c r="R12" s="21">
        <f t="shared" si="4"/>
        <v>0</v>
      </c>
      <c r="S12" s="22" t="str">
        <f>IFERROR(_xlfn.MAXIFS(Movimentacoes!#REF!,Movimentacoes!#REF!,A12),"")</f>
        <v/>
      </c>
      <c r="T12" s="21">
        <f t="shared" ca="1" si="5"/>
        <v>9999</v>
      </c>
      <c r="U12" t="str">
        <f t="shared" si="6"/>
        <v>Ruptura</v>
      </c>
      <c r="V12" t="str">
        <f t="shared" si="7"/>
        <v>Medio</v>
      </c>
      <c r="W12" s="23">
        <f t="shared" si="8"/>
        <v>1</v>
      </c>
      <c r="X12" t="str">
        <f t="shared" si="9"/>
        <v>C</v>
      </c>
    </row>
    <row r="13" spans="1:24" ht="15" customHeight="1" x14ac:dyDescent="0.25">
      <c r="A13" t="s">
        <v>108</v>
      </c>
      <c r="B13" t="s">
        <v>109</v>
      </c>
      <c r="C13" t="s">
        <v>69</v>
      </c>
      <c r="D13" t="s">
        <v>70</v>
      </c>
      <c r="E13" t="s">
        <v>86</v>
      </c>
      <c r="F13" s="20">
        <v>5400</v>
      </c>
      <c r="G13" s="21">
        <v>1</v>
      </c>
      <c r="H13" s="21">
        <v>1</v>
      </c>
      <c r="I13" s="21">
        <v>4</v>
      </c>
      <c r="J13" t="s">
        <v>110</v>
      </c>
      <c r="K13" t="s">
        <v>88</v>
      </c>
      <c r="L13" s="21">
        <f>IFERROR(INDEX(Fornecedores!$D:$D,MATCH(E13,Fornecedores!$A:$A,0)),15)</f>
        <v>25</v>
      </c>
      <c r="M13" s="21" t="e">
        <f>ROUND(SUMIFS(Movimentacoes!#REF!,Movimentacoes!#REF!,A13,Movimentacoes!#REF!,"Saida")/6,1)</f>
        <v>#REF!</v>
      </c>
      <c r="N13" s="21" t="e">
        <f t="shared" si="0"/>
        <v>#REF!</v>
      </c>
      <c r="O13" t="e">
        <f t="shared" si="1"/>
        <v>#REF!</v>
      </c>
      <c r="P13" s="20">
        <f t="shared" si="2"/>
        <v>5400</v>
      </c>
      <c r="Q13" s="21">
        <f t="shared" si="3"/>
        <v>0</v>
      </c>
      <c r="R13" s="21">
        <f t="shared" si="4"/>
        <v>0</v>
      </c>
      <c r="S13" s="22" t="str">
        <f>IFERROR(_xlfn.MAXIFS(Movimentacoes!#REF!,Movimentacoes!#REF!,A13),"")</f>
        <v/>
      </c>
      <c r="T13" s="21">
        <f t="shared" ca="1" si="5"/>
        <v>9999</v>
      </c>
      <c r="U13" t="e">
        <f t="shared" si="6"/>
        <v>#REF!</v>
      </c>
      <c r="V13" t="str">
        <f t="shared" si="7"/>
        <v>Medio</v>
      </c>
      <c r="W13" s="23">
        <f t="shared" si="8"/>
        <v>0.92041068306008478</v>
      </c>
      <c r="X13" t="str">
        <f t="shared" si="9"/>
        <v>C</v>
      </c>
    </row>
    <row r="14" spans="1:24" ht="15" customHeight="1" x14ac:dyDescent="0.25">
      <c r="A14" t="s">
        <v>111</v>
      </c>
      <c r="B14" t="s">
        <v>112</v>
      </c>
      <c r="C14" t="s">
        <v>113</v>
      </c>
      <c r="D14" t="s">
        <v>70</v>
      </c>
      <c r="E14" t="s">
        <v>100</v>
      </c>
      <c r="F14" s="20">
        <v>145</v>
      </c>
      <c r="G14" s="21">
        <v>12</v>
      </c>
      <c r="H14" s="21">
        <v>5</v>
      </c>
      <c r="I14" s="21">
        <v>20</v>
      </c>
      <c r="J14" t="s">
        <v>114</v>
      </c>
      <c r="K14" t="s">
        <v>88</v>
      </c>
      <c r="L14" s="21">
        <f>IFERROR(INDEX(Fornecedores!$D:$D,MATCH(E14,Fornecedores!$A:$A,0)),15)</f>
        <v>8</v>
      </c>
      <c r="M14" s="21" t="e">
        <f>ROUND(SUMIFS(Movimentacoes!#REF!,Movimentacoes!#REF!,A14,Movimentacoes!#REF!,"Saida")/6,1)</f>
        <v>#REF!</v>
      </c>
      <c r="N14" s="21" t="e">
        <f t="shared" si="0"/>
        <v>#REF!</v>
      </c>
      <c r="O14" t="e">
        <f t="shared" si="1"/>
        <v>#REF!</v>
      </c>
      <c r="P14" s="20">
        <f t="shared" si="2"/>
        <v>1740</v>
      </c>
      <c r="Q14" s="21">
        <f t="shared" si="3"/>
        <v>0</v>
      </c>
      <c r="R14" s="21">
        <f t="shared" si="4"/>
        <v>0</v>
      </c>
      <c r="S14" s="22" t="str">
        <f>IFERROR(_xlfn.MAXIFS(Movimentacoes!#REF!,Movimentacoes!#REF!,A14),"")</f>
        <v/>
      </c>
      <c r="T14" s="21">
        <f t="shared" ca="1" si="5"/>
        <v>9999</v>
      </c>
      <c r="U14" t="e">
        <f t="shared" si="6"/>
        <v>#REF!</v>
      </c>
      <c r="V14" t="str">
        <f t="shared" si="7"/>
        <v>Medio</v>
      </c>
      <c r="W14" s="23">
        <f t="shared" si="8"/>
        <v>0.98957354967583544</v>
      </c>
      <c r="X14" t="str">
        <f t="shared" si="9"/>
        <v>C</v>
      </c>
    </row>
    <row r="15" spans="1:24" ht="15" customHeight="1" x14ac:dyDescent="0.25">
      <c r="A15" t="s">
        <v>115</v>
      </c>
      <c r="B15" t="s">
        <v>116</v>
      </c>
      <c r="C15" t="s">
        <v>113</v>
      </c>
      <c r="D15" t="s">
        <v>70</v>
      </c>
      <c r="E15" t="s">
        <v>100</v>
      </c>
      <c r="F15" s="20">
        <v>210</v>
      </c>
      <c r="G15" s="21">
        <v>12</v>
      </c>
      <c r="H15" s="21">
        <v>5</v>
      </c>
      <c r="I15" s="21">
        <v>20</v>
      </c>
      <c r="J15" t="s">
        <v>117</v>
      </c>
      <c r="K15" t="s">
        <v>88</v>
      </c>
      <c r="L15" s="21">
        <f>IFERROR(INDEX(Fornecedores!$D:$D,MATCH(E15,Fornecedores!$A:$A,0)),15)</f>
        <v>8</v>
      </c>
      <c r="M15" s="21" t="e">
        <f>ROUND(SUMIFS(Movimentacoes!#REF!,Movimentacoes!#REF!,A15,Movimentacoes!#REF!,"Saida")/6,1)</f>
        <v>#REF!</v>
      </c>
      <c r="N15" s="21" t="e">
        <f t="shared" si="0"/>
        <v>#REF!</v>
      </c>
      <c r="O15" t="e">
        <f t="shared" si="1"/>
        <v>#REF!</v>
      </c>
      <c r="P15" s="20">
        <f t="shared" si="2"/>
        <v>2520</v>
      </c>
      <c r="Q15" s="21">
        <f t="shared" si="3"/>
        <v>0</v>
      </c>
      <c r="R15" s="21">
        <f t="shared" si="4"/>
        <v>0</v>
      </c>
      <c r="S15" s="22" t="str">
        <f>IFERROR(_xlfn.MAXIFS(Movimentacoes!#REF!,Movimentacoes!#REF!,A15),"")</f>
        <v/>
      </c>
      <c r="T15" s="21">
        <f t="shared" ca="1" si="5"/>
        <v>9999</v>
      </c>
      <c r="U15" t="e">
        <f t="shared" si="6"/>
        <v>#REF!</v>
      </c>
      <c r="V15" t="str">
        <f t="shared" si="7"/>
        <v>Medio</v>
      </c>
      <c r="W15" s="23">
        <f t="shared" si="8"/>
        <v>0.97813086739650323</v>
      </c>
      <c r="X15" t="str">
        <f t="shared" si="9"/>
        <v>C</v>
      </c>
    </row>
    <row r="16" spans="1:24" ht="15" customHeight="1" x14ac:dyDescent="0.25">
      <c r="A16" t="s">
        <v>118</v>
      </c>
      <c r="B16" t="s">
        <v>119</v>
      </c>
      <c r="C16" t="s">
        <v>113</v>
      </c>
      <c r="D16" t="s">
        <v>70</v>
      </c>
      <c r="E16" t="s">
        <v>120</v>
      </c>
      <c r="F16" s="20">
        <v>890</v>
      </c>
      <c r="G16" s="21">
        <v>8</v>
      </c>
      <c r="H16" s="21">
        <v>3</v>
      </c>
      <c r="I16" s="21">
        <v>12</v>
      </c>
      <c r="J16" t="s">
        <v>121</v>
      </c>
      <c r="K16" t="s">
        <v>73</v>
      </c>
      <c r="L16" s="21">
        <f>IFERROR(INDEX(Fornecedores!$D:$D,MATCH(E16,Fornecedores!$A:$A,0)),15)</f>
        <v>15</v>
      </c>
      <c r="M16" s="21" t="e">
        <f>ROUND(SUMIFS(Movimentacoes!#REF!,Movimentacoes!#REF!,A16,Movimentacoes!#REF!,"Saida")/6,1)</f>
        <v>#REF!</v>
      </c>
      <c r="N16" s="21" t="e">
        <f t="shared" si="0"/>
        <v>#REF!</v>
      </c>
      <c r="O16" t="e">
        <f t="shared" si="1"/>
        <v>#REF!</v>
      </c>
      <c r="P16" s="20">
        <f t="shared" si="2"/>
        <v>7120</v>
      </c>
      <c r="Q16" s="21">
        <f t="shared" si="3"/>
        <v>0</v>
      </c>
      <c r="R16" s="21">
        <f t="shared" si="4"/>
        <v>0</v>
      </c>
      <c r="S16" s="22" t="str">
        <f>IFERROR(_xlfn.MAXIFS(Movimentacoes!#REF!,Movimentacoes!#REF!,A16),"")</f>
        <v/>
      </c>
      <c r="T16" s="21">
        <f t="shared" ca="1" si="5"/>
        <v>9999</v>
      </c>
      <c r="U16" t="e">
        <f t="shared" si="6"/>
        <v>#REF!</v>
      </c>
      <c r="V16" t="str">
        <f t="shared" si="7"/>
        <v>Alto</v>
      </c>
      <c r="W16" s="23">
        <f t="shared" si="8"/>
        <v>0.89856393442035831</v>
      </c>
      <c r="X16" t="str">
        <f t="shared" si="9"/>
        <v>B</v>
      </c>
    </row>
    <row r="17" spans="1:24" ht="15" customHeight="1" x14ac:dyDescent="0.25">
      <c r="A17" t="s">
        <v>122</v>
      </c>
      <c r="B17" t="s">
        <v>123</v>
      </c>
      <c r="C17" t="s">
        <v>113</v>
      </c>
      <c r="D17" t="s">
        <v>70</v>
      </c>
      <c r="E17" t="s">
        <v>120</v>
      </c>
      <c r="F17" s="20">
        <v>1240</v>
      </c>
      <c r="G17" s="21">
        <v>10</v>
      </c>
      <c r="H17" s="21">
        <v>3</v>
      </c>
      <c r="I17" s="21">
        <v>10</v>
      </c>
      <c r="J17" t="s">
        <v>124</v>
      </c>
      <c r="K17" t="s">
        <v>73</v>
      </c>
      <c r="L17" s="21">
        <f>IFERROR(INDEX(Fornecedores!$D:$D,MATCH(E17,Fornecedores!$A:$A,0)),15)</f>
        <v>15</v>
      </c>
      <c r="M17" s="21" t="e">
        <f>ROUND(SUMIFS(Movimentacoes!#REF!,Movimentacoes!#REF!,A17,Movimentacoes!#REF!,"Saida")/6,1)</f>
        <v>#REF!</v>
      </c>
      <c r="N17" s="21" t="e">
        <f t="shared" si="0"/>
        <v>#REF!</v>
      </c>
      <c r="O17" t="e">
        <f t="shared" si="1"/>
        <v>#REF!</v>
      </c>
      <c r="P17" s="20">
        <f t="shared" si="2"/>
        <v>12400</v>
      </c>
      <c r="Q17" s="21">
        <f t="shared" si="3"/>
        <v>0</v>
      </c>
      <c r="R17" s="21">
        <f t="shared" si="4"/>
        <v>0</v>
      </c>
      <c r="S17" s="22" t="str">
        <f>IFERROR(_xlfn.MAXIFS(Movimentacoes!#REF!,Movimentacoes!#REF!,A17),"")</f>
        <v/>
      </c>
      <c r="T17" s="21">
        <f t="shared" ca="1" si="5"/>
        <v>9999</v>
      </c>
      <c r="U17" t="e">
        <f t="shared" si="6"/>
        <v>#REF!</v>
      </c>
      <c r="V17" t="str">
        <f t="shared" si="7"/>
        <v>Alto</v>
      </c>
      <c r="W17" s="23">
        <f t="shared" si="8"/>
        <v>0.87001990382058447</v>
      </c>
      <c r="X17" t="str">
        <f t="shared" si="9"/>
        <v>B</v>
      </c>
    </row>
    <row r="18" spans="1:24" ht="15" customHeight="1" x14ac:dyDescent="0.25">
      <c r="A18" t="s">
        <v>125</v>
      </c>
      <c r="B18" t="s">
        <v>126</v>
      </c>
      <c r="C18" t="s">
        <v>113</v>
      </c>
      <c r="D18" t="s">
        <v>70</v>
      </c>
      <c r="E18" t="s">
        <v>120</v>
      </c>
      <c r="F18" s="20">
        <v>2380</v>
      </c>
      <c r="G18" s="21">
        <v>8</v>
      </c>
      <c r="H18" s="21">
        <v>2</v>
      </c>
      <c r="I18" s="21">
        <v>8</v>
      </c>
      <c r="J18" t="s">
        <v>127</v>
      </c>
      <c r="K18" t="s">
        <v>73</v>
      </c>
      <c r="L18" s="21">
        <f>IFERROR(INDEX(Fornecedores!$D:$D,MATCH(E18,Fornecedores!$A:$A,0)),15)</f>
        <v>15</v>
      </c>
      <c r="M18" s="21" t="e">
        <f>ROUND(SUMIFS(Movimentacoes!#REF!,Movimentacoes!#REF!,A18,Movimentacoes!#REF!,"Saida")/6,1)</f>
        <v>#REF!</v>
      </c>
      <c r="N18" s="21" t="e">
        <f t="shared" si="0"/>
        <v>#REF!</v>
      </c>
      <c r="O18" t="e">
        <f t="shared" si="1"/>
        <v>#REF!</v>
      </c>
      <c r="P18" s="20">
        <f t="shared" si="2"/>
        <v>19040</v>
      </c>
      <c r="Q18" s="21">
        <f t="shared" si="3"/>
        <v>0</v>
      </c>
      <c r="R18" s="21">
        <f t="shared" si="4"/>
        <v>0</v>
      </c>
      <c r="S18" s="22" t="str">
        <f>IFERROR(_xlfn.MAXIFS(Movimentacoes!#REF!,Movimentacoes!#REF!,A18),"")</f>
        <v/>
      </c>
      <c r="T18" s="21">
        <f t="shared" ca="1" si="5"/>
        <v>9999</v>
      </c>
      <c r="U18" t="e">
        <f t="shared" si="6"/>
        <v>#REF!</v>
      </c>
      <c r="V18" t="str">
        <f t="shared" si="7"/>
        <v>Alto</v>
      </c>
      <c r="W18" s="23">
        <f t="shared" si="8"/>
        <v>0.77081417639100669</v>
      </c>
      <c r="X18" t="str">
        <f t="shared" si="9"/>
        <v>B</v>
      </c>
    </row>
    <row r="19" spans="1:24" ht="15" customHeight="1" x14ac:dyDescent="0.25">
      <c r="A19" t="s">
        <v>128</v>
      </c>
      <c r="B19" t="s">
        <v>129</v>
      </c>
      <c r="C19" t="s">
        <v>113</v>
      </c>
      <c r="D19" t="s">
        <v>70</v>
      </c>
      <c r="E19" t="s">
        <v>100</v>
      </c>
      <c r="F19" s="20">
        <v>68</v>
      </c>
      <c r="G19" s="21">
        <v>56</v>
      </c>
      <c r="H19" s="21">
        <v>10</v>
      </c>
      <c r="I19" s="21">
        <v>40</v>
      </c>
      <c r="J19" t="s">
        <v>130</v>
      </c>
      <c r="K19" t="s">
        <v>88</v>
      </c>
      <c r="L19" s="21">
        <f>IFERROR(INDEX(Fornecedores!$D:$D,MATCH(E19,Fornecedores!$A:$A,0)),15)</f>
        <v>8</v>
      </c>
      <c r="M19" s="21" t="e">
        <f>ROUND(SUMIFS(Movimentacoes!#REF!,Movimentacoes!#REF!,A19,Movimentacoes!#REF!,"Saida")/6,1)</f>
        <v>#REF!</v>
      </c>
      <c r="N19" s="21" t="e">
        <f t="shared" si="0"/>
        <v>#REF!</v>
      </c>
      <c r="O19" t="e">
        <f t="shared" si="1"/>
        <v>#REF!</v>
      </c>
      <c r="P19" s="20">
        <f t="shared" si="2"/>
        <v>3808</v>
      </c>
      <c r="Q19" s="21">
        <f t="shared" si="3"/>
        <v>0</v>
      </c>
      <c r="R19" s="21">
        <f t="shared" si="4"/>
        <v>0</v>
      </c>
      <c r="S19" s="22" t="str">
        <f>IFERROR(_xlfn.MAXIFS(Movimentacoes!#REF!,Movimentacoes!#REF!,A19),"")</f>
        <v/>
      </c>
      <c r="T19" s="21">
        <f t="shared" ca="1" si="5"/>
        <v>9999</v>
      </c>
      <c r="U19" t="e">
        <f t="shared" si="6"/>
        <v>#REF!</v>
      </c>
      <c r="V19" t="str">
        <f t="shared" si="7"/>
        <v>Medio</v>
      </c>
      <c r="W19" s="23">
        <f t="shared" si="8"/>
        <v>0.95093882820845022</v>
      </c>
      <c r="X19" t="str">
        <f t="shared" si="9"/>
        <v>C</v>
      </c>
    </row>
    <row r="20" spans="1:24" ht="15" customHeight="1" x14ac:dyDescent="0.25">
      <c r="A20" t="s">
        <v>131</v>
      </c>
      <c r="B20" t="s">
        <v>132</v>
      </c>
      <c r="C20" t="s">
        <v>133</v>
      </c>
      <c r="D20" t="s">
        <v>134</v>
      </c>
      <c r="E20" t="s">
        <v>135</v>
      </c>
      <c r="F20" s="20">
        <v>320</v>
      </c>
      <c r="G20" s="21">
        <v>0</v>
      </c>
      <c r="H20" s="21">
        <v>30</v>
      </c>
      <c r="I20" s="21">
        <v>120</v>
      </c>
      <c r="J20" t="s">
        <v>136</v>
      </c>
      <c r="K20" t="s">
        <v>73</v>
      </c>
      <c r="L20" s="21">
        <f>IFERROR(INDEX(Fornecedores!$D:$D,MATCH(E20,Fornecedores!$A:$A,0)),15)</f>
        <v>10</v>
      </c>
      <c r="M20" s="21" t="e">
        <f>ROUND(SUMIFS(Movimentacoes!#REF!,Movimentacoes!#REF!,A20,Movimentacoes!#REF!,"Saida")/6,1)</f>
        <v>#REF!</v>
      </c>
      <c r="N20" s="21" t="e">
        <f t="shared" si="0"/>
        <v>#REF!</v>
      </c>
      <c r="O20" t="e">
        <f t="shared" si="1"/>
        <v>#REF!</v>
      </c>
      <c r="P20" s="20">
        <f t="shared" si="2"/>
        <v>0</v>
      </c>
      <c r="Q20" s="21">
        <f t="shared" si="3"/>
        <v>0</v>
      </c>
      <c r="R20" s="21">
        <f t="shared" si="4"/>
        <v>0</v>
      </c>
      <c r="S20" s="22" t="str">
        <f>IFERROR(_xlfn.MAXIFS(Movimentacoes!#REF!,Movimentacoes!#REF!,A20),"")</f>
        <v/>
      </c>
      <c r="T20" s="21">
        <f t="shared" ca="1" si="5"/>
        <v>9999</v>
      </c>
      <c r="U20" t="str">
        <f t="shared" si="6"/>
        <v>Ruptura</v>
      </c>
      <c r="V20" t="str">
        <f t="shared" si="7"/>
        <v>Alto</v>
      </c>
      <c r="W20" s="23">
        <f t="shared" si="8"/>
        <v>1</v>
      </c>
      <c r="X20" t="str">
        <f t="shared" si="9"/>
        <v>C</v>
      </c>
    </row>
    <row r="21" spans="1:24" ht="15" customHeight="1" x14ac:dyDescent="0.25">
      <c r="A21" t="s">
        <v>137</v>
      </c>
      <c r="B21" t="s">
        <v>138</v>
      </c>
      <c r="C21" t="s">
        <v>133</v>
      </c>
      <c r="D21" t="s">
        <v>70</v>
      </c>
      <c r="E21" t="s">
        <v>135</v>
      </c>
      <c r="F21" s="20">
        <v>95</v>
      </c>
      <c r="G21" s="21">
        <v>9</v>
      </c>
      <c r="H21" s="21">
        <v>10</v>
      </c>
      <c r="I21" s="21">
        <v>40</v>
      </c>
      <c r="J21" t="s">
        <v>139</v>
      </c>
      <c r="K21" t="s">
        <v>88</v>
      </c>
      <c r="L21" s="21">
        <f>IFERROR(INDEX(Fornecedores!$D:$D,MATCH(E21,Fornecedores!$A:$A,0)),15)</f>
        <v>10</v>
      </c>
      <c r="M21" s="21" t="e">
        <f>ROUND(SUMIFS(Movimentacoes!#REF!,Movimentacoes!#REF!,A21,Movimentacoes!#REF!,"Saida")/6,1)</f>
        <v>#REF!</v>
      </c>
      <c r="N21" s="21" t="e">
        <f t="shared" si="0"/>
        <v>#REF!</v>
      </c>
      <c r="O21" t="e">
        <f t="shared" si="1"/>
        <v>#REF!</v>
      </c>
      <c r="P21" s="20">
        <f t="shared" si="2"/>
        <v>855</v>
      </c>
      <c r="Q21" s="21">
        <f t="shared" si="3"/>
        <v>0</v>
      </c>
      <c r="R21" s="21">
        <f t="shared" si="4"/>
        <v>0</v>
      </c>
      <c r="S21" s="22" t="str">
        <f>IFERROR(_xlfn.MAXIFS(Movimentacoes!#REF!,Movimentacoes!#REF!,A21),"")</f>
        <v/>
      </c>
      <c r="T21" s="21">
        <f t="shared" ca="1" si="5"/>
        <v>9999</v>
      </c>
      <c r="U21" t="str">
        <f t="shared" si="6"/>
        <v>Abaixo do Minimo</v>
      </c>
      <c r="V21" t="str">
        <f t="shared" si="7"/>
        <v>Medio</v>
      </c>
      <c r="W21" s="23">
        <f t="shared" si="8"/>
        <v>1</v>
      </c>
      <c r="X21" t="str">
        <f t="shared" si="9"/>
        <v>C</v>
      </c>
    </row>
    <row r="22" spans="1:24" ht="15" customHeight="1" x14ac:dyDescent="0.25">
      <c r="A22" t="s">
        <v>140</v>
      </c>
      <c r="B22" t="s">
        <v>141</v>
      </c>
      <c r="C22" t="s">
        <v>133</v>
      </c>
      <c r="D22" t="s">
        <v>70</v>
      </c>
      <c r="E22" t="s">
        <v>142</v>
      </c>
      <c r="F22" s="20">
        <v>2450</v>
      </c>
      <c r="G22" s="21">
        <v>1</v>
      </c>
      <c r="H22" s="21">
        <v>1</v>
      </c>
      <c r="I22" s="21">
        <v>4</v>
      </c>
      <c r="J22" t="s">
        <v>143</v>
      </c>
      <c r="K22" t="s">
        <v>88</v>
      </c>
      <c r="L22" s="21">
        <f>IFERROR(INDEX(Fornecedores!$D:$D,MATCH(E22,Fornecedores!$A:$A,0)),15)</f>
        <v>12</v>
      </c>
      <c r="M22" s="21" t="e">
        <f>ROUND(SUMIFS(Movimentacoes!#REF!,Movimentacoes!#REF!,A22,Movimentacoes!#REF!,"Saida")/6,1)</f>
        <v>#REF!</v>
      </c>
      <c r="N22" s="21" t="e">
        <f t="shared" si="0"/>
        <v>#REF!</v>
      </c>
      <c r="O22" t="e">
        <f t="shared" si="1"/>
        <v>#REF!</v>
      </c>
      <c r="P22" s="20">
        <f t="shared" si="2"/>
        <v>2450</v>
      </c>
      <c r="Q22" s="21">
        <f t="shared" si="3"/>
        <v>0</v>
      </c>
      <c r="R22" s="21">
        <f t="shared" si="4"/>
        <v>0</v>
      </c>
      <c r="S22" s="22" t="str">
        <f>IFERROR(_xlfn.MAXIFS(Movimentacoes!#REF!,Movimentacoes!#REF!,A22),"")</f>
        <v/>
      </c>
      <c r="T22" s="21">
        <f t="shared" ca="1" si="5"/>
        <v>9999</v>
      </c>
      <c r="U22" t="e">
        <f t="shared" si="6"/>
        <v>#REF!</v>
      </c>
      <c r="V22" t="str">
        <f t="shared" si="7"/>
        <v>Medio</v>
      </c>
      <c r="W22" s="23">
        <f t="shared" si="8"/>
        <v>0.9825181242954647</v>
      </c>
      <c r="X22" t="str">
        <f t="shared" si="9"/>
        <v>C</v>
      </c>
    </row>
    <row r="23" spans="1:24" ht="15" customHeight="1" x14ac:dyDescent="0.25">
      <c r="A23" t="s">
        <v>144</v>
      </c>
      <c r="B23" t="s">
        <v>145</v>
      </c>
      <c r="C23" t="s">
        <v>133</v>
      </c>
      <c r="D23" t="s">
        <v>70</v>
      </c>
      <c r="E23" t="s">
        <v>142</v>
      </c>
      <c r="F23" s="20">
        <v>2180</v>
      </c>
      <c r="G23" s="21">
        <v>2</v>
      </c>
      <c r="H23" s="21">
        <v>1</v>
      </c>
      <c r="I23" s="21">
        <v>4</v>
      </c>
      <c r="J23" t="s">
        <v>146</v>
      </c>
      <c r="K23" t="s">
        <v>88</v>
      </c>
      <c r="L23" s="21">
        <f>IFERROR(INDEX(Fornecedores!$D:$D,MATCH(E23,Fornecedores!$A:$A,0)),15)</f>
        <v>12</v>
      </c>
      <c r="M23" s="21" t="e">
        <f>ROUND(SUMIFS(Movimentacoes!#REF!,Movimentacoes!#REF!,A23,Movimentacoes!#REF!,"Saida")/6,1)</f>
        <v>#REF!</v>
      </c>
      <c r="N23" s="21" t="e">
        <f t="shared" si="0"/>
        <v>#REF!</v>
      </c>
      <c r="O23" t="e">
        <f t="shared" si="1"/>
        <v>#REF!</v>
      </c>
      <c r="P23" s="20">
        <f t="shared" si="2"/>
        <v>4360</v>
      </c>
      <c r="Q23" s="21">
        <f t="shared" si="3"/>
        <v>0</v>
      </c>
      <c r="R23" s="21">
        <f t="shared" si="4"/>
        <v>0</v>
      </c>
      <c r="S23" s="22" t="str">
        <f>IFERROR(_xlfn.MAXIFS(Movimentacoes!#REF!,Movimentacoes!#REF!,A23),"")</f>
        <v/>
      </c>
      <c r="T23" s="21">
        <f t="shared" ca="1" si="5"/>
        <v>9999</v>
      </c>
      <c r="U23" t="e">
        <f t="shared" si="6"/>
        <v>#REF!</v>
      </c>
      <c r="V23" t="str">
        <f t="shared" si="7"/>
        <v>Medio</v>
      </c>
      <c r="W23" s="23">
        <f t="shared" si="8"/>
        <v>0.93681365171089592</v>
      </c>
      <c r="X23" t="str">
        <f t="shared" si="9"/>
        <v>C</v>
      </c>
    </row>
    <row r="24" spans="1:24" ht="15" customHeight="1" x14ac:dyDescent="0.25">
      <c r="A24" t="s">
        <v>147</v>
      </c>
      <c r="B24" t="s">
        <v>148</v>
      </c>
      <c r="C24" t="s">
        <v>149</v>
      </c>
      <c r="D24" t="s">
        <v>70</v>
      </c>
      <c r="E24" t="s">
        <v>71</v>
      </c>
      <c r="F24" s="20">
        <v>3200</v>
      </c>
      <c r="G24" s="21">
        <v>4</v>
      </c>
      <c r="H24" s="21">
        <v>2</v>
      </c>
      <c r="I24" s="21">
        <v>6</v>
      </c>
      <c r="J24" t="s">
        <v>150</v>
      </c>
      <c r="K24" t="s">
        <v>73</v>
      </c>
      <c r="L24" s="21">
        <f>IFERROR(INDEX(Fornecedores!$D:$D,MATCH(E24,Fornecedores!$A:$A,0)),15)</f>
        <v>30</v>
      </c>
      <c r="M24" s="21" t="e">
        <f>ROUND(SUMIFS(Movimentacoes!#REF!,Movimentacoes!#REF!,A24,Movimentacoes!#REF!,"Saida")/6,1)</f>
        <v>#REF!</v>
      </c>
      <c r="N24" s="21" t="e">
        <f t="shared" si="0"/>
        <v>#REF!</v>
      </c>
      <c r="O24" t="e">
        <f t="shared" si="1"/>
        <v>#REF!</v>
      </c>
      <c r="P24" s="20">
        <f t="shared" si="2"/>
        <v>12800</v>
      </c>
      <c r="Q24" s="21">
        <f t="shared" si="3"/>
        <v>0</v>
      </c>
      <c r="R24" s="21">
        <f t="shared" si="4"/>
        <v>0</v>
      </c>
      <c r="S24" s="22" t="str">
        <f>IFERROR(_xlfn.MAXIFS(Movimentacoes!#REF!,Movimentacoes!#REF!,A24),"")</f>
        <v/>
      </c>
      <c r="T24" s="21">
        <f t="shared" ca="1" si="5"/>
        <v>9999</v>
      </c>
      <c r="U24" t="e">
        <f t="shared" si="6"/>
        <v>#REF!</v>
      </c>
      <c r="V24" t="str">
        <f t="shared" si="7"/>
        <v>Alto</v>
      </c>
      <c r="W24" s="23">
        <f t="shared" si="8"/>
        <v>0.84781501176053453</v>
      </c>
      <c r="X24" t="str">
        <f t="shared" si="9"/>
        <v>B</v>
      </c>
    </row>
    <row r="25" spans="1:24" ht="15" customHeight="1" x14ac:dyDescent="0.25">
      <c r="A25" t="s">
        <v>151</v>
      </c>
      <c r="B25" t="s">
        <v>152</v>
      </c>
      <c r="C25" t="s">
        <v>149</v>
      </c>
      <c r="D25" t="s">
        <v>70</v>
      </c>
      <c r="E25" t="s">
        <v>71</v>
      </c>
      <c r="F25" s="20">
        <v>4100</v>
      </c>
      <c r="G25" s="21">
        <v>4</v>
      </c>
      <c r="H25" s="21">
        <v>2</v>
      </c>
      <c r="I25" s="21">
        <v>6</v>
      </c>
      <c r="J25" t="s">
        <v>153</v>
      </c>
      <c r="K25" t="s">
        <v>88</v>
      </c>
      <c r="L25" s="21">
        <f>IFERROR(INDEX(Fornecedores!$D:$D,MATCH(E25,Fornecedores!$A:$A,0)),15)</f>
        <v>30</v>
      </c>
      <c r="M25" s="21" t="e">
        <f>ROUND(SUMIFS(Movimentacoes!#REF!,Movimentacoes!#REF!,A25,Movimentacoes!#REF!,"Saida")/6,1)</f>
        <v>#REF!</v>
      </c>
      <c r="N25" s="21" t="e">
        <f t="shared" si="0"/>
        <v>#REF!</v>
      </c>
      <c r="O25" t="e">
        <f t="shared" si="1"/>
        <v>#REF!</v>
      </c>
      <c r="P25" s="20">
        <f t="shared" si="2"/>
        <v>16400</v>
      </c>
      <c r="Q25" s="21">
        <f t="shared" si="3"/>
        <v>0</v>
      </c>
      <c r="R25" s="21">
        <f t="shared" si="4"/>
        <v>0</v>
      </c>
      <c r="S25" s="22" t="str">
        <f>IFERROR(_xlfn.MAXIFS(Movimentacoes!#REF!,Movimentacoes!#REF!,A25),"")</f>
        <v/>
      </c>
      <c r="T25" s="21">
        <f t="shared" ca="1" si="5"/>
        <v>9999</v>
      </c>
      <c r="U25" t="e">
        <f t="shared" si="6"/>
        <v>#REF!</v>
      </c>
      <c r="V25" t="str">
        <f t="shared" si="7"/>
        <v>Medio</v>
      </c>
      <c r="W25" s="23">
        <f t="shared" si="8"/>
        <v>0.80018193685752426</v>
      </c>
      <c r="X25" t="str">
        <f t="shared" si="9"/>
        <v>B</v>
      </c>
    </row>
    <row r="26" spans="1:24" ht="15" customHeight="1" x14ac:dyDescent="0.25">
      <c r="A26" t="s">
        <v>154</v>
      </c>
      <c r="B26" t="s">
        <v>155</v>
      </c>
      <c r="C26" t="s">
        <v>156</v>
      </c>
      <c r="D26" t="s">
        <v>70</v>
      </c>
      <c r="E26" t="s">
        <v>142</v>
      </c>
      <c r="F26" s="20">
        <v>32500</v>
      </c>
      <c r="G26" s="21">
        <v>2</v>
      </c>
      <c r="H26" s="21">
        <v>1</v>
      </c>
      <c r="I26" s="21">
        <v>2</v>
      </c>
      <c r="J26" t="s">
        <v>157</v>
      </c>
      <c r="K26" t="s">
        <v>73</v>
      </c>
      <c r="L26" s="21">
        <f>IFERROR(INDEX(Fornecedores!$D:$D,MATCH(E26,Fornecedores!$A:$A,0)),15)</f>
        <v>12</v>
      </c>
      <c r="M26" s="21" t="e">
        <f>ROUND(SUMIFS(Movimentacoes!#REF!,Movimentacoes!#REF!,A26,Movimentacoes!#REF!,"Saida")/6,1)</f>
        <v>#REF!</v>
      </c>
      <c r="N26" s="21" t="e">
        <f t="shared" si="0"/>
        <v>#REF!</v>
      </c>
      <c r="O26" t="e">
        <f t="shared" si="1"/>
        <v>#REF!</v>
      </c>
      <c r="P26" s="20">
        <f t="shared" si="2"/>
        <v>65000</v>
      </c>
      <c r="Q26" s="21">
        <f t="shared" si="3"/>
        <v>0</v>
      </c>
      <c r="R26" s="21">
        <f t="shared" si="4"/>
        <v>0</v>
      </c>
      <c r="S26" s="22" t="str">
        <f>IFERROR(_xlfn.MAXIFS(Movimentacoes!#REF!,Movimentacoes!#REF!,A26),"")</f>
        <v/>
      </c>
      <c r="T26" s="21">
        <f t="shared" ca="1" si="5"/>
        <v>9999</v>
      </c>
      <c r="U26" t="e">
        <f t="shared" si="6"/>
        <v>#REF!</v>
      </c>
      <c r="V26" t="str">
        <f t="shared" si="7"/>
        <v>Alto</v>
      </c>
      <c r="W26" s="23">
        <f t="shared" si="8"/>
        <v>0.11639661160510031</v>
      </c>
      <c r="X26" t="str">
        <f t="shared" si="9"/>
        <v>A</v>
      </c>
    </row>
    <row r="27" spans="1:24" ht="15" customHeight="1" x14ac:dyDescent="0.25">
      <c r="A27" t="s">
        <v>158</v>
      </c>
      <c r="B27" t="s">
        <v>159</v>
      </c>
      <c r="C27" t="s">
        <v>156</v>
      </c>
      <c r="D27" t="s">
        <v>70</v>
      </c>
      <c r="E27" t="s">
        <v>142</v>
      </c>
      <c r="F27" s="20">
        <v>17800</v>
      </c>
      <c r="G27" s="21">
        <v>2</v>
      </c>
      <c r="H27" s="21">
        <v>1</v>
      </c>
      <c r="I27" s="21">
        <v>2</v>
      </c>
      <c r="J27" t="s">
        <v>160</v>
      </c>
      <c r="K27" t="s">
        <v>88</v>
      </c>
      <c r="L27" s="21">
        <f>IFERROR(INDEX(Fornecedores!$D:$D,MATCH(E27,Fornecedores!$A:$A,0)),15)</f>
        <v>12</v>
      </c>
      <c r="M27" s="21" t="e">
        <f>ROUND(SUMIFS(Movimentacoes!#REF!,Movimentacoes!#REF!,A27,Movimentacoes!#REF!,"Saida")/6,1)</f>
        <v>#REF!</v>
      </c>
      <c r="N27" s="21" t="e">
        <f t="shared" si="0"/>
        <v>#REF!</v>
      </c>
      <c r="O27" t="e">
        <f t="shared" si="1"/>
        <v>#REF!</v>
      </c>
      <c r="P27" s="20">
        <f t="shared" si="2"/>
        <v>35600</v>
      </c>
      <c r="Q27" s="21">
        <f t="shared" si="3"/>
        <v>0</v>
      </c>
      <c r="R27" s="21">
        <f t="shared" si="4"/>
        <v>0</v>
      </c>
      <c r="S27" s="22" t="str">
        <f>IFERROR(_xlfn.MAXIFS(Movimentacoes!#REF!,Movimentacoes!#REF!,A27),"")</f>
        <v/>
      </c>
      <c r="T27" s="21">
        <f t="shared" ca="1" si="5"/>
        <v>9999</v>
      </c>
      <c r="U27" t="e">
        <f t="shared" si="6"/>
        <v>#REF!</v>
      </c>
      <c r="V27" t="str">
        <f t="shared" si="7"/>
        <v>Medio</v>
      </c>
      <c r="W27" s="23">
        <f t="shared" si="8"/>
        <v>0.41616265441577405</v>
      </c>
      <c r="X27" t="str">
        <f t="shared" si="9"/>
        <v>A</v>
      </c>
    </row>
    <row r="28" spans="1:24" ht="15" customHeight="1" x14ac:dyDescent="0.25">
      <c r="A28" t="s">
        <v>161</v>
      </c>
      <c r="B28" t="s">
        <v>162</v>
      </c>
      <c r="C28" t="s">
        <v>156</v>
      </c>
      <c r="D28" t="s">
        <v>70</v>
      </c>
      <c r="E28" t="s">
        <v>142</v>
      </c>
      <c r="F28" s="20">
        <v>8900</v>
      </c>
      <c r="G28" s="21">
        <v>4</v>
      </c>
      <c r="H28" s="21">
        <v>1</v>
      </c>
      <c r="I28" s="21">
        <v>3</v>
      </c>
      <c r="J28" t="s">
        <v>163</v>
      </c>
      <c r="K28" t="s">
        <v>73</v>
      </c>
      <c r="L28" s="21">
        <f>IFERROR(INDEX(Fornecedores!$D:$D,MATCH(E28,Fornecedores!$A:$A,0)),15)</f>
        <v>12</v>
      </c>
      <c r="M28" s="21" t="e">
        <f>ROUND(SUMIFS(Movimentacoes!#REF!,Movimentacoes!#REF!,A28,Movimentacoes!#REF!,"Saida")/6,1)</f>
        <v>#REF!</v>
      </c>
      <c r="N28" s="21" t="e">
        <f t="shared" si="0"/>
        <v>#REF!</v>
      </c>
      <c r="O28" t="e">
        <f t="shared" si="1"/>
        <v>#REF!</v>
      </c>
      <c r="P28" s="20">
        <f t="shared" si="2"/>
        <v>35600</v>
      </c>
      <c r="Q28" s="21">
        <f t="shared" si="3"/>
        <v>0</v>
      </c>
      <c r="R28" s="21">
        <f t="shared" si="4"/>
        <v>0</v>
      </c>
      <c r="S28" s="22" t="str">
        <f>IFERROR(_xlfn.MAXIFS(Movimentacoes!#REF!,Movimentacoes!#REF!,A28),"")</f>
        <v/>
      </c>
      <c r="T28" s="21">
        <f t="shared" ca="1" si="5"/>
        <v>9999</v>
      </c>
      <c r="U28" t="e">
        <f t="shared" si="6"/>
        <v>#REF!</v>
      </c>
      <c r="V28" t="str">
        <f t="shared" si="7"/>
        <v>Alto</v>
      </c>
      <c r="W28" s="23">
        <f t="shared" si="8"/>
        <v>0.41616265441577405</v>
      </c>
      <c r="X28" t="str">
        <f t="shared" si="9"/>
        <v>A</v>
      </c>
    </row>
    <row r="29" spans="1:24" ht="15" customHeight="1" x14ac:dyDescent="0.25">
      <c r="A29" t="s">
        <v>164</v>
      </c>
      <c r="B29" t="s">
        <v>165</v>
      </c>
      <c r="C29" t="s">
        <v>156</v>
      </c>
      <c r="D29" t="s">
        <v>70</v>
      </c>
      <c r="E29" t="s">
        <v>142</v>
      </c>
      <c r="F29" s="20">
        <v>1350</v>
      </c>
      <c r="G29" s="21">
        <v>0</v>
      </c>
      <c r="H29" s="21">
        <v>3</v>
      </c>
      <c r="I29" s="21">
        <v>10</v>
      </c>
      <c r="J29" t="s">
        <v>166</v>
      </c>
      <c r="K29" t="s">
        <v>73</v>
      </c>
      <c r="L29" s="21">
        <f>IFERROR(INDEX(Fornecedores!$D:$D,MATCH(E29,Fornecedores!$A:$A,0)),15)</f>
        <v>12</v>
      </c>
      <c r="M29" s="21" t="e">
        <f>ROUND(SUMIFS(Movimentacoes!#REF!,Movimentacoes!#REF!,A29,Movimentacoes!#REF!,"Saida")/6,1)</f>
        <v>#REF!</v>
      </c>
      <c r="N29" s="21" t="e">
        <f t="shared" si="0"/>
        <v>#REF!</v>
      </c>
      <c r="O29" t="e">
        <f t="shared" si="1"/>
        <v>#REF!</v>
      </c>
      <c r="P29" s="20">
        <f t="shared" si="2"/>
        <v>0</v>
      </c>
      <c r="Q29" s="21">
        <f t="shared" si="3"/>
        <v>0</v>
      </c>
      <c r="R29" s="21">
        <f t="shared" si="4"/>
        <v>0</v>
      </c>
      <c r="S29" s="22" t="str">
        <f>IFERROR(_xlfn.MAXIFS(Movimentacoes!#REF!,Movimentacoes!#REF!,A29),"")</f>
        <v/>
      </c>
      <c r="T29" s="21">
        <f t="shared" ca="1" si="5"/>
        <v>9999</v>
      </c>
      <c r="U29" t="str">
        <f t="shared" si="6"/>
        <v>Ruptura</v>
      </c>
      <c r="V29" t="str">
        <f t="shared" si="7"/>
        <v>Alto</v>
      </c>
      <c r="W29" s="23">
        <f t="shared" si="8"/>
        <v>1</v>
      </c>
      <c r="X29" t="str">
        <f t="shared" si="9"/>
        <v>C</v>
      </c>
    </row>
    <row r="30" spans="1:24" ht="15" customHeight="1" x14ac:dyDescent="0.25">
      <c r="A30" t="s">
        <v>167</v>
      </c>
      <c r="B30" t="s">
        <v>168</v>
      </c>
      <c r="C30" t="s">
        <v>156</v>
      </c>
      <c r="D30" t="s">
        <v>70</v>
      </c>
      <c r="E30" t="s">
        <v>142</v>
      </c>
      <c r="F30" s="20">
        <v>780</v>
      </c>
      <c r="G30" s="21">
        <v>2</v>
      </c>
      <c r="H30" s="21">
        <v>3</v>
      </c>
      <c r="I30" s="21">
        <v>10</v>
      </c>
      <c r="J30" t="s">
        <v>169</v>
      </c>
      <c r="K30" t="s">
        <v>88</v>
      </c>
      <c r="L30" s="21">
        <f>IFERROR(INDEX(Fornecedores!$D:$D,MATCH(E30,Fornecedores!$A:$A,0)),15)</f>
        <v>12</v>
      </c>
      <c r="M30" s="21" t="e">
        <f>ROUND(SUMIFS(Movimentacoes!#REF!,Movimentacoes!#REF!,A30,Movimentacoes!#REF!,"Saida")/6,1)</f>
        <v>#REF!</v>
      </c>
      <c r="N30" s="21" t="e">
        <f t="shared" si="0"/>
        <v>#REF!</v>
      </c>
      <c r="O30" t="e">
        <f t="shared" si="1"/>
        <v>#REF!</v>
      </c>
      <c r="P30" s="20">
        <f t="shared" si="2"/>
        <v>1560</v>
      </c>
      <c r="Q30" s="21">
        <f t="shared" si="3"/>
        <v>0</v>
      </c>
      <c r="R30" s="21">
        <f t="shared" si="4"/>
        <v>0</v>
      </c>
      <c r="S30" s="22" t="str">
        <f>IFERROR(_xlfn.MAXIFS(Movimentacoes!#REF!,Movimentacoes!#REF!,A30),"")</f>
        <v/>
      </c>
      <c r="T30" s="21">
        <f t="shared" ca="1" si="5"/>
        <v>9999</v>
      </c>
      <c r="U30" t="str">
        <f t="shared" si="6"/>
        <v>Abaixo do Minimo</v>
      </c>
      <c r="V30" t="str">
        <f t="shared" si="7"/>
        <v>Medio</v>
      </c>
      <c r="W30" s="23">
        <f t="shared" si="8"/>
        <v>0.99236706835435784</v>
      </c>
      <c r="X30" t="str">
        <f t="shared" si="9"/>
        <v>C</v>
      </c>
    </row>
    <row r="31" spans="1:24" ht="15" customHeight="1" x14ac:dyDescent="0.25">
      <c r="A31" t="s">
        <v>170</v>
      </c>
      <c r="B31" t="s">
        <v>171</v>
      </c>
      <c r="C31" t="s">
        <v>156</v>
      </c>
      <c r="D31" t="s">
        <v>134</v>
      </c>
      <c r="E31" t="s">
        <v>142</v>
      </c>
      <c r="F31" s="20">
        <v>22</v>
      </c>
      <c r="G31" s="21">
        <v>100</v>
      </c>
      <c r="H31" s="21">
        <v>100</v>
      </c>
      <c r="I31" s="21">
        <v>400</v>
      </c>
      <c r="J31" t="s">
        <v>172</v>
      </c>
      <c r="K31" t="s">
        <v>88</v>
      </c>
      <c r="L31" s="21">
        <f>IFERROR(INDEX(Fornecedores!$D:$D,MATCH(E31,Fornecedores!$A:$A,0)),15)</f>
        <v>12</v>
      </c>
      <c r="M31" s="21" t="e">
        <f>ROUND(SUMIFS(Movimentacoes!#REF!,Movimentacoes!#REF!,A31,Movimentacoes!#REF!,"Saida")/6,1)</f>
        <v>#REF!</v>
      </c>
      <c r="N31" s="21" t="e">
        <f t="shared" si="0"/>
        <v>#REF!</v>
      </c>
      <c r="O31" t="e">
        <f t="shared" si="1"/>
        <v>#REF!</v>
      </c>
      <c r="P31" s="20">
        <f t="shared" si="2"/>
        <v>2200</v>
      </c>
      <c r="Q31" s="21">
        <f t="shared" si="3"/>
        <v>0</v>
      </c>
      <c r="R31" s="21">
        <f t="shared" si="4"/>
        <v>0</v>
      </c>
      <c r="S31" s="22" t="str">
        <f>IFERROR(_xlfn.MAXIFS(Movimentacoes!#REF!,Movimentacoes!#REF!,A31),"")</f>
        <v/>
      </c>
      <c r="T31" s="21">
        <f t="shared" ca="1" si="5"/>
        <v>9999</v>
      </c>
      <c r="U31" t="e">
        <f t="shared" si="6"/>
        <v>#REF!</v>
      </c>
      <c r="V31" t="str">
        <f t="shared" si="7"/>
        <v>Medio</v>
      </c>
      <c r="W31" s="23">
        <f t="shared" si="8"/>
        <v>0.98645770191902193</v>
      </c>
      <c r="X31" t="str">
        <f t="shared" si="9"/>
        <v>C</v>
      </c>
    </row>
    <row r="32" spans="1:24" ht="15" customHeight="1" x14ac:dyDescent="0.25">
      <c r="A32" t="s">
        <v>173</v>
      </c>
      <c r="B32" t="s">
        <v>174</v>
      </c>
      <c r="C32" t="s">
        <v>156</v>
      </c>
      <c r="D32" t="s">
        <v>70</v>
      </c>
      <c r="E32" t="s">
        <v>142</v>
      </c>
      <c r="F32" s="20">
        <v>340</v>
      </c>
      <c r="G32" s="21">
        <v>12</v>
      </c>
      <c r="H32" s="21">
        <v>5</v>
      </c>
      <c r="I32" s="21">
        <v>20</v>
      </c>
      <c r="J32" t="s">
        <v>175</v>
      </c>
      <c r="K32" t="s">
        <v>88</v>
      </c>
      <c r="L32" s="21">
        <f>IFERROR(INDEX(Fornecedores!$D:$D,MATCH(E32,Fornecedores!$A:$A,0)),15)</f>
        <v>12</v>
      </c>
      <c r="M32" s="21" t="e">
        <f>ROUND(SUMIFS(Movimentacoes!#REF!,Movimentacoes!#REF!,A32,Movimentacoes!#REF!,"Saida")/6,1)</f>
        <v>#REF!</v>
      </c>
      <c r="N32" s="21" t="e">
        <f t="shared" si="0"/>
        <v>#REF!</v>
      </c>
      <c r="O32" t="e">
        <f t="shared" si="1"/>
        <v>#REF!</v>
      </c>
      <c r="P32" s="20">
        <f t="shared" si="2"/>
        <v>4080</v>
      </c>
      <c r="Q32" s="21">
        <f t="shared" si="3"/>
        <v>0</v>
      </c>
      <c r="R32" s="21">
        <f t="shared" si="4"/>
        <v>0</v>
      </c>
      <c r="S32" s="22" t="str">
        <f>IFERROR(_xlfn.MAXIFS(Movimentacoes!#REF!,Movimentacoes!#REF!,A32),"")</f>
        <v/>
      </c>
      <c r="T32" s="21">
        <f t="shared" ca="1" si="5"/>
        <v>9999</v>
      </c>
      <c r="U32" t="e">
        <f t="shared" si="6"/>
        <v>#REF!</v>
      </c>
      <c r="V32" t="str">
        <f t="shared" si="7"/>
        <v>Medio</v>
      </c>
      <c r="W32" s="23">
        <f t="shared" si="8"/>
        <v>0.94411977748549292</v>
      </c>
      <c r="X32" t="str">
        <f t="shared" si="9"/>
        <v>C</v>
      </c>
    </row>
    <row r="33" spans="1:24" ht="15" customHeight="1" x14ac:dyDescent="0.25">
      <c r="A33" t="s">
        <v>176</v>
      </c>
      <c r="B33" t="s">
        <v>177</v>
      </c>
      <c r="C33" t="s">
        <v>178</v>
      </c>
      <c r="D33" t="s">
        <v>70</v>
      </c>
      <c r="E33" t="s">
        <v>179</v>
      </c>
      <c r="F33" s="20">
        <v>15800</v>
      </c>
      <c r="G33" s="21">
        <v>2</v>
      </c>
      <c r="H33" s="21">
        <v>1</v>
      </c>
      <c r="I33" s="21">
        <v>3</v>
      </c>
      <c r="J33" t="s">
        <v>180</v>
      </c>
      <c r="K33" t="s">
        <v>73</v>
      </c>
      <c r="L33" s="21">
        <f>IFERROR(INDEX(Fornecedores!$D:$D,MATCH(E33,Fornecedores!$A:$A,0)),15)</f>
        <v>20</v>
      </c>
      <c r="M33" s="21" t="e">
        <f>ROUND(SUMIFS(Movimentacoes!#REF!,Movimentacoes!#REF!,A33,Movimentacoes!#REF!,"Saida")/6,1)</f>
        <v>#REF!</v>
      </c>
      <c r="N33" s="21" t="e">
        <f t="shared" si="0"/>
        <v>#REF!</v>
      </c>
      <c r="O33" t="e">
        <f t="shared" si="1"/>
        <v>#REF!</v>
      </c>
      <c r="P33" s="20">
        <f t="shared" si="2"/>
        <v>31600</v>
      </c>
      <c r="Q33" s="21">
        <f t="shared" si="3"/>
        <v>0</v>
      </c>
      <c r="R33" s="21">
        <f t="shared" si="4"/>
        <v>0</v>
      </c>
      <c r="S33" s="22" t="str">
        <f>IFERROR(_xlfn.MAXIFS(Movimentacoes!#REF!,Movimentacoes!#REF!,A33),"")</f>
        <v/>
      </c>
      <c r="T33" s="21">
        <f t="shared" ca="1" si="5"/>
        <v>9999</v>
      </c>
      <c r="U33" t="e">
        <f t="shared" si="6"/>
        <v>#REF!</v>
      </c>
      <c r="V33" t="str">
        <f t="shared" si="7"/>
        <v>Alto</v>
      </c>
      <c r="W33" s="23">
        <f t="shared" si="8"/>
        <v>0.47274931482686899</v>
      </c>
      <c r="X33" t="str">
        <f t="shared" si="9"/>
        <v>A</v>
      </c>
    </row>
    <row r="34" spans="1:24" ht="15" customHeight="1" x14ac:dyDescent="0.25">
      <c r="A34" t="s">
        <v>181</v>
      </c>
      <c r="B34" t="s">
        <v>182</v>
      </c>
      <c r="C34" t="s">
        <v>178</v>
      </c>
      <c r="D34" t="s">
        <v>70</v>
      </c>
      <c r="E34" t="s">
        <v>179</v>
      </c>
      <c r="F34" s="20">
        <v>6900</v>
      </c>
      <c r="G34" s="21">
        <v>2</v>
      </c>
      <c r="H34" s="21">
        <v>1</v>
      </c>
      <c r="I34" s="21">
        <v>3</v>
      </c>
      <c r="J34" t="s">
        <v>183</v>
      </c>
      <c r="K34" t="s">
        <v>73</v>
      </c>
      <c r="L34" s="21">
        <f>IFERROR(INDEX(Fornecedores!$D:$D,MATCH(E34,Fornecedores!$A:$A,0)),15)</f>
        <v>20</v>
      </c>
      <c r="M34" s="21" t="e">
        <f>ROUND(SUMIFS(Movimentacoes!#REF!,Movimentacoes!#REF!,A34,Movimentacoes!#REF!,"Saida")/6,1)</f>
        <v>#REF!</v>
      </c>
      <c r="N34" s="21" t="e">
        <f t="shared" si="0"/>
        <v>#REF!</v>
      </c>
      <c r="O34" t="e">
        <f t="shared" si="1"/>
        <v>#REF!</v>
      </c>
      <c r="P34" s="20">
        <f t="shared" si="2"/>
        <v>13800</v>
      </c>
      <c r="Q34" s="21">
        <f t="shared" si="3"/>
        <v>0</v>
      </c>
      <c r="R34" s="21">
        <f t="shared" si="4"/>
        <v>0</v>
      </c>
      <c r="S34" s="22" t="str">
        <f>IFERROR(_xlfn.MAXIFS(Movimentacoes!#REF!,Movimentacoes!#REF!,A34),"")</f>
        <v/>
      </c>
      <c r="T34" s="21">
        <f t="shared" ca="1" si="5"/>
        <v>9999</v>
      </c>
      <c r="U34" t="e">
        <f t="shared" si="6"/>
        <v>#REF!</v>
      </c>
      <c r="V34" t="str">
        <f t="shared" si="7"/>
        <v>Alto</v>
      </c>
      <c r="W34" s="23">
        <f t="shared" si="8"/>
        <v>0.82489383285983786</v>
      </c>
      <c r="X34" t="str">
        <f t="shared" si="9"/>
        <v>B</v>
      </c>
    </row>
    <row r="35" spans="1:24" ht="15" customHeight="1" x14ac:dyDescent="0.25">
      <c r="A35" t="s">
        <v>184</v>
      </c>
      <c r="B35" t="s">
        <v>185</v>
      </c>
      <c r="C35" t="s">
        <v>178</v>
      </c>
      <c r="D35" t="s">
        <v>134</v>
      </c>
      <c r="E35" t="s">
        <v>179</v>
      </c>
      <c r="F35" s="20">
        <v>85</v>
      </c>
      <c r="G35" s="21">
        <v>80</v>
      </c>
      <c r="H35" s="21">
        <v>20</v>
      </c>
      <c r="I35" s="21">
        <v>80</v>
      </c>
      <c r="J35" t="s">
        <v>186</v>
      </c>
      <c r="K35" t="s">
        <v>88</v>
      </c>
      <c r="L35" s="21">
        <f>IFERROR(INDEX(Fornecedores!$D:$D,MATCH(E35,Fornecedores!$A:$A,0)),15)</f>
        <v>20</v>
      </c>
      <c r="M35" s="21" t="e">
        <f>ROUND(SUMIFS(Movimentacoes!#REF!,Movimentacoes!#REF!,A35,Movimentacoes!#REF!,"Saida")/6,1)</f>
        <v>#REF!</v>
      </c>
      <c r="N35" s="21" t="e">
        <f t="shared" si="0"/>
        <v>#REF!</v>
      </c>
      <c r="O35" t="e">
        <f t="shared" si="1"/>
        <v>#REF!</v>
      </c>
      <c r="P35" s="20">
        <f t="shared" si="2"/>
        <v>6800</v>
      </c>
      <c r="Q35" s="21">
        <f t="shared" si="3"/>
        <v>0</v>
      </c>
      <c r="R35" s="21">
        <f t="shared" si="4"/>
        <v>0</v>
      </c>
      <c r="S35" s="22" t="str">
        <f>IFERROR(_xlfn.MAXIFS(Movimentacoes!#REF!,Movimentacoes!#REF!,A35),"")</f>
        <v/>
      </c>
      <c r="T35" s="21">
        <f t="shared" ca="1" si="5"/>
        <v>9999</v>
      </c>
      <c r="U35" t="e">
        <f t="shared" si="6"/>
        <v>#REF!</v>
      </c>
      <c r="V35" t="str">
        <f t="shared" si="7"/>
        <v>Medio</v>
      </c>
      <c r="W35" s="23">
        <f t="shared" si="8"/>
        <v>0.91074081071135338</v>
      </c>
      <c r="X35" t="str">
        <f t="shared" si="9"/>
        <v>C</v>
      </c>
    </row>
    <row r="36" spans="1:24" ht="15" customHeight="1" x14ac:dyDescent="0.25">
      <c r="A36" t="s">
        <v>187</v>
      </c>
      <c r="B36" t="s">
        <v>188</v>
      </c>
      <c r="C36" t="s">
        <v>178</v>
      </c>
      <c r="D36" t="s">
        <v>70</v>
      </c>
      <c r="E36" t="s">
        <v>179</v>
      </c>
      <c r="F36" s="20">
        <v>2650</v>
      </c>
      <c r="G36" s="21">
        <v>8</v>
      </c>
      <c r="H36" s="21">
        <v>2</v>
      </c>
      <c r="I36" s="21">
        <v>8</v>
      </c>
      <c r="J36" t="s">
        <v>189</v>
      </c>
      <c r="K36" t="s">
        <v>88</v>
      </c>
      <c r="L36" s="21">
        <f>IFERROR(INDEX(Fornecedores!$D:$D,MATCH(E36,Fornecedores!$A:$A,0)),15)</f>
        <v>20</v>
      </c>
      <c r="M36" s="21" t="e">
        <f>ROUND(SUMIFS(Movimentacoes!#REF!,Movimentacoes!#REF!,A36,Movimentacoes!#REF!,"Saida")/6,1)</f>
        <v>#REF!</v>
      </c>
      <c r="N36" s="21" t="e">
        <f t="shared" si="0"/>
        <v>#REF!</v>
      </c>
      <c r="O36" t="e">
        <f t="shared" si="1"/>
        <v>#REF!</v>
      </c>
      <c r="P36" s="20">
        <f t="shared" si="2"/>
        <v>21200</v>
      </c>
      <c r="Q36" s="21">
        <f t="shared" si="3"/>
        <v>0</v>
      </c>
      <c r="R36" s="21">
        <f t="shared" si="4"/>
        <v>0</v>
      </c>
      <c r="S36" s="22" t="str">
        <f>IFERROR(_xlfn.MAXIFS(Movimentacoes!#REF!,Movimentacoes!#REF!,A36),"")</f>
        <v/>
      </c>
      <c r="T36" s="21">
        <f t="shared" ca="1" si="5"/>
        <v>9999</v>
      </c>
      <c r="U36" t="e">
        <f t="shared" si="6"/>
        <v>#REF!</v>
      </c>
      <c r="V36" t="str">
        <f t="shared" si="7"/>
        <v>Medio</v>
      </c>
      <c r="W36" s="23">
        <f t="shared" si="8"/>
        <v>0.6996510787727499</v>
      </c>
      <c r="X36" t="str">
        <f t="shared" si="9"/>
        <v>A</v>
      </c>
    </row>
    <row r="37" spans="1:24" ht="15" customHeight="1" x14ac:dyDescent="0.25">
      <c r="A37" t="s">
        <v>190</v>
      </c>
      <c r="B37" t="s">
        <v>191</v>
      </c>
      <c r="C37" t="s">
        <v>192</v>
      </c>
      <c r="D37" t="s">
        <v>70</v>
      </c>
      <c r="E37" t="s">
        <v>179</v>
      </c>
      <c r="F37" s="20">
        <v>210</v>
      </c>
      <c r="G37" s="21">
        <v>42</v>
      </c>
      <c r="H37" s="21">
        <v>8</v>
      </c>
      <c r="I37" s="21">
        <v>30</v>
      </c>
      <c r="J37" t="s">
        <v>193</v>
      </c>
      <c r="K37" t="s">
        <v>88</v>
      </c>
      <c r="L37" s="21">
        <f>IFERROR(INDEX(Fornecedores!$D:$D,MATCH(E37,Fornecedores!$A:$A,0)),15)</f>
        <v>20</v>
      </c>
      <c r="M37" s="21" t="e">
        <f>ROUND(SUMIFS(Movimentacoes!#REF!,Movimentacoes!#REF!,A37,Movimentacoes!#REF!,"Saida")/6,1)</f>
        <v>#REF!</v>
      </c>
      <c r="N37" s="21" t="e">
        <f t="shared" si="0"/>
        <v>#REF!</v>
      </c>
      <c r="O37" t="e">
        <f t="shared" si="1"/>
        <v>#REF!</v>
      </c>
      <c r="P37" s="20">
        <f t="shared" si="2"/>
        <v>8820</v>
      </c>
      <c r="Q37" s="21">
        <f t="shared" si="3"/>
        <v>0</v>
      </c>
      <c r="R37" s="21">
        <f t="shared" si="4"/>
        <v>0</v>
      </c>
      <c r="S37" s="22" t="str">
        <f>IFERROR(_xlfn.MAXIFS(Movimentacoes!#REF!,Movimentacoes!#REF!,A37),"")</f>
        <v/>
      </c>
      <c r="T37" s="21">
        <f t="shared" ca="1" si="5"/>
        <v>9999</v>
      </c>
      <c r="U37" t="e">
        <f t="shared" si="6"/>
        <v>#REF!</v>
      </c>
      <c r="V37" t="str">
        <f t="shared" si="7"/>
        <v>Medio</v>
      </c>
      <c r="W37" s="23">
        <f t="shared" si="8"/>
        <v>0.88581402865684578</v>
      </c>
      <c r="X37" t="str">
        <f t="shared" si="9"/>
        <v>B</v>
      </c>
    </row>
    <row r="38" spans="1:24" ht="15" customHeight="1" x14ac:dyDescent="0.25">
      <c r="A38" t="s">
        <v>194</v>
      </c>
      <c r="B38" t="s">
        <v>195</v>
      </c>
      <c r="C38" t="s">
        <v>192</v>
      </c>
      <c r="D38" t="s">
        <v>70</v>
      </c>
      <c r="E38" t="s">
        <v>100</v>
      </c>
      <c r="F38" s="20">
        <v>95</v>
      </c>
      <c r="G38" s="21">
        <v>0</v>
      </c>
      <c r="H38" s="21">
        <v>10</v>
      </c>
      <c r="I38" s="21">
        <v>40</v>
      </c>
      <c r="J38" t="s">
        <v>196</v>
      </c>
      <c r="K38" t="s">
        <v>88</v>
      </c>
      <c r="L38" s="21">
        <f>IFERROR(INDEX(Fornecedores!$D:$D,MATCH(E38,Fornecedores!$A:$A,0)),15)</f>
        <v>8</v>
      </c>
      <c r="M38" s="21" t="e">
        <f>ROUND(SUMIFS(Movimentacoes!#REF!,Movimentacoes!#REF!,A38,Movimentacoes!#REF!,"Saida")/6,1)</f>
        <v>#REF!</v>
      </c>
      <c r="N38" s="21" t="e">
        <f t="shared" si="0"/>
        <v>#REF!</v>
      </c>
      <c r="O38" t="e">
        <f t="shared" si="1"/>
        <v>#REF!</v>
      </c>
      <c r="P38" s="20">
        <f t="shared" si="2"/>
        <v>0</v>
      </c>
      <c r="Q38" s="21">
        <f t="shared" si="3"/>
        <v>0</v>
      </c>
      <c r="R38" s="21">
        <f t="shared" si="4"/>
        <v>0</v>
      </c>
      <c r="S38" s="22" t="str">
        <f>IFERROR(_xlfn.MAXIFS(Movimentacoes!#REF!,Movimentacoes!#REF!,A38),"")</f>
        <v/>
      </c>
      <c r="T38" s="21">
        <f t="shared" ca="1" si="5"/>
        <v>9999</v>
      </c>
      <c r="U38" t="str">
        <f t="shared" si="6"/>
        <v>Ruptura</v>
      </c>
      <c r="V38" t="str">
        <f t="shared" si="7"/>
        <v>Medio</v>
      </c>
      <c r="W38" s="23">
        <f t="shared" si="8"/>
        <v>1</v>
      </c>
      <c r="X38" t="str">
        <f t="shared" si="9"/>
        <v>C</v>
      </c>
    </row>
    <row r="39" spans="1:24" ht="15" customHeight="1" x14ac:dyDescent="0.25">
      <c r="A39" t="s">
        <v>197</v>
      </c>
      <c r="B39" t="s">
        <v>198</v>
      </c>
      <c r="C39" t="s">
        <v>192</v>
      </c>
      <c r="D39" t="s">
        <v>70</v>
      </c>
      <c r="E39" t="s">
        <v>100</v>
      </c>
      <c r="F39" s="20">
        <v>130</v>
      </c>
      <c r="G39" s="21">
        <v>9</v>
      </c>
      <c r="H39" s="21">
        <v>10</v>
      </c>
      <c r="I39" s="21">
        <v>40</v>
      </c>
      <c r="J39" t="s">
        <v>199</v>
      </c>
      <c r="K39" t="s">
        <v>88</v>
      </c>
      <c r="L39" s="21">
        <f>IFERROR(INDEX(Fornecedores!$D:$D,MATCH(E39,Fornecedores!$A:$A,0)),15)</f>
        <v>8</v>
      </c>
      <c r="M39" s="21" t="e">
        <f>ROUND(SUMIFS(Movimentacoes!#REF!,Movimentacoes!#REF!,A39,Movimentacoes!#REF!,"Saida")/6,1)</f>
        <v>#REF!</v>
      </c>
      <c r="N39" s="21" t="e">
        <f t="shared" si="0"/>
        <v>#REF!</v>
      </c>
      <c r="O39" t="e">
        <f t="shared" si="1"/>
        <v>#REF!</v>
      </c>
      <c r="P39" s="20">
        <f t="shared" si="2"/>
        <v>1170</v>
      </c>
      <c r="Q39" s="21">
        <f t="shared" si="3"/>
        <v>0</v>
      </c>
      <c r="R39" s="21">
        <f t="shared" si="4"/>
        <v>0</v>
      </c>
      <c r="S39" s="22" t="str">
        <f>IFERROR(_xlfn.MAXIFS(Movimentacoes!#REF!,Movimentacoes!#REF!,A39),"")</f>
        <v/>
      </c>
      <c r="T39" s="21">
        <f t="shared" ca="1" si="5"/>
        <v>9999</v>
      </c>
      <c r="U39" t="str">
        <f t="shared" si="6"/>
        <v>Abaixo do Minimo</v>
      </c>
      <c r="V39" t="str">
        <f t="shared" si="7"/>
        <v>Medio</v>
      </c>
      <c r="W39" s="23">
        <f t="shared" si="8"/>
        <v>0.99446220736324964</v>
      </c>
      <c r="X39" t="str">
        <f t="shared" si="9"/>
        <v>C</v>
      </c>
    </row>
    <row r="40" spans="1:24" ht="15" customHeight="1" x14ac:dyDescent="0.25">
      <c r="A40" t="s">
        <v>200</v>
      </c>
      <c r="B40" t="s">
        <v>201</v>
      </c>
      <c r="C40" t="s">
        <v>202</v>
      </c>
      <c r="D40" t="s">
        <v>203</v>
      </c>
      <c r="E40" t="s">
        <v>204</v>
      </c>
      <c r="F40" s="20">
        <v>28</v>
      </c>
      <c r="G40" s="21">
        <v>100</v>
      </c>
      <c r="H40" s="21">
        <v>100</v>
      </c>
      <c r="I40" s="21">
        <v>500</v>
      </c>
      <c r="J40" t="s">
        <v>205</v>
      </c>
      <c r="K40" t="s">
        <v>88</v>
      </c>
      <c r="L40" s="21">
        <f>IFERROR(INDEX(Fornecedores!$D:$D,MATCH(E40,Fornecedores!$A:$A,0)),15)</f>
        <v>5</v>
      </c>
      <c r="M40" s="21" t="e">
        <f>ROUND(SUMIFS(Movimentacoes!#REF!,Movimentacoes!#REF!,A40,Movimentacoes!#REF!,"Saida")/6,1)</f>
        <v>#REF!</v>
      </c>
      <c r="N40" s="21" t="e">
        <f t="shared" si="0"/>
        <v>#REF!</v>
      </c>
      <c r="O40" t="e">
        <f t="shared" si="1"/>
        <v>#REF!</v>
      </c>
      <c r="P40" s="20">
        <f t="shared" si="2"/>
        <v>2800</v>
      </c>
      <c r="Q40" s="21">
        <f t="shared" si="3"/>
        <v>0</v>
      </c>
      <c r="R40" s="21">
        <f t="shared" si="4"/>
        <v>0</v>
      </c>
      <c r="S40" s="22" t="str">
        <f>IFERROR(_xlfn.MAXIFS(Movimentacoes!#REF!,Movimentacoes!#REF!,A40),"")</f>
        <v/>
      </c>
      <c r="T40" s="21">
        <f t="shared" ca="1" si="5"/>
        <v>9999</v>
      </c>
      <c r="U40" t="e">
        <f t="shared" si="6"/>
        <v>#REF!</v>
      </c>
      <c r="V40" t="str">
        <f t="shared" si="7"/>
        <v>Medio</v>
      </c>
      <c r="W40" s="23">
        <f t="shared" si="8"/>
        <v>0.97361826030042864</v>
      </c>
      <c r="X40" t="str">
        <f t="shared" si="9"/>
        <v>C</v>
      </c>
    </row>
    <row r="41" spans="1:24" ht="15" customHeight="1" x14ac:dyDescent="0.25">
      <c r="A41" t="s">
        <v>206</v>
      </c>
      <c r="B41" t="s">
        <v>207</v>
      </c>
      <c r="C41" t="s">
        <v>202</v>
      </c>
      <c r="D41" t="s">
        <v>208</v>
      </c>
      <c r="E41" t="s">
        <v>204</v>
      </c>
      <c r="F41" s="20">
        <v>32</v>
      </c>
      <c r="G41" s="21">
        <v>150</v>
      </c>
      <c r="H41" s="21">
        <v>50</v>
      </c>
      <c r="I41" s="21">
        <v>250</v>
      </c>
      <c r="J41" t="s">
        <v>209</v>
      </c>
      <c r="K41" t="s">
        <v>88</v>
      </c>
      <c r="L41" s="21">
        <f>IFERROR(INDEX(Fornecedores!$D:$D,MATCH(E41,Fornecedores!$A:$A,0)),15)</f>
        <v>5</v>
      </c>
      <c r="M41" s="21" t="e">
        <f>ROUND(SUMIFS(Movimentacoes!#REF!,Movimentacoes!#REF!,A41,Movimentacoes!#REF!,"Saida")/6,1)</f>
        <v>#REF!</v>
      </c>
      <c r="N41" s="21" t="e">
        <f t="shared" si="0"/>
        <v>#REF!</v>
      </c>
      <c r="O41" t="e">
        <f t="shared" si="1"/>
        <v>#REF!</v>
      </c>
      <c r="P41" s="20">
        <f t="shared" si="2"/>
        <v>4800</v>
      </c>
      <c r="Q41" s="21">
        <f t="shared" si="3"/>
        <v>0</v>
      </c>
      <c r="R41" s="21">
        <f t="shared" si="4"/>
        <v>0</v>
      </c>
      <c r="S41" s="22" t="str">
        <f>IFERROR(_xlfn.MAXIFS(Movimentacoes!#REF!,Movimentacoes!#REF!,A41),"")</f>
        <v/>
      </c>
      <c r="T41" s="21">
        <f t="shared" ca="1" si="5"/>
        <v>9999</v>
      </c>
      <c r="U41" t="e">
        <f t="shared" si="6"/>
        <v>#REF!</v>
      </c>
      <c r="V41" t="str">
        <f t="shared" si="7"/>
        <v>Medio</v>
      </c>
      <c r="W41" s="23">
        <f t="shared" si="8"/>
        <v>0.92900612514784608</v>
      </c>
      <c r="X41" t="str">
        <f t="shared" si="9"/>
        <v>C</v>
      </c>
    </row>
    <row r="42" spans="1:24" ht="15" customHeight="1" x14ac:dyDescent="0.25">
      <c r="A42" t="s">
        <v>210</v>
      </c>
      <c r="B42" t="s">
        <v>211</v>
      </c>
      <c r="C42" t="s">
        <v>212</v>
      </c>
      <c r="D42" t="s">
        <v>70</v>
      </c>
      <c r="E42" t="s">
        <v>204</v>
      </c>
      <c r="F42" s="20">
        <v>18</v>
      </c>
      <c r="G42" s="21">
        <v>175</v>
      </c>
      <c r="H42" s="21">
        <v>50</v>
      </c>
      <c r="I42" s="21">
        <v>300</v>
      </c>
      <c r="J42" t="s">
        <v>213</v>
      </c>
      <c r="K42" t="s">
        <v>88</v>
      </c>
      <c r="L42" s="21">
        <f>IFERROR(INDEX(Fornecedores!$D:$D,MATCH(E42,Fornecedores!$A:$A,0)),15)</f>
        <v>5</v>
      </c>
      <c r="M42" s="21" t="e">
        <f>ROUND(SUMIFS(Movimentacoes!#REF!,Movimentacoes!#REF!,A42,Movimentacoes!#REF!,"Saida")/6,1)</f>
        <v>#REF!</v>
      </c>
      <c r="N42" s="21" t="e">
        <f t="shared" si="0"/>
        <v>#REF!</v>
      </c>
      <c r="O42" t="e">
        <f t="shared" si="1"/>
        <v>#REF!</v>
      </c>
      <c r="P42" s="20">
        <f t="shared" si="2"/>
        <v>3150</v>
      </c>
      <c r="Q42" s="21">
        <f t="shared" si="3"/>
        <v>0</v>
      </c>
      <c r="R42" s="21">
        <f t="shared" si="4"/>
        <v>0</v>
      </c>
      <c r="S42" s="22" t="str">
        <f>IFERROR(_xlfn.MAXIFS(Movimentacoes!#REF!,Movimentacoes!#REF!,A42),"")</f>
        <v/>
      </c>
      <c r="T42" s="21">
        <f t="shared" ca="1" si="5"/>
        <v>9999</v>
      </c>
      <c r="U42" t="e">
        <f t="shared" si="6"/>
        <v>#REF!</v>
      </c>
      <c r="V42" t="str">
        <f t="shared" si="7"/>
        <v>Medio</v>
      </c>
      <c r="W42" s="23">
        <f t="shared" si="8"/>
        <v>0.96302616864436452</v>
      </c>
      <c r="X42" t="str">
        <f t="shared" si="9"/>
        <v>C</v>
      </c>
    </row>
    <row r="43" spans="1:24" ht="15" customHeight="1" x14ac:dyDescent="0.25">
      <c r="A43" t="s">
        <v>214</v>
      </c>
      <c r="B43" t="s">
        <v>215</v>
      </c>
      <c r="C43" t="s">
        <v>212</v>
      </c>
      <c r="D43" t="s">
        <v>70</v>
      </c>
      <c r="E43" t="s">
        <v>204</v>
      </c>
      <c r="F43" s="20">
        <v>6.5</v>
      </c>
      <c r="G43" s="21">
        <v>175</v>
      </c>
      <c r="H43" s="21">
        <v>50</v>
      </c>
      <c r="I43" s="21">
        <v>300</v>
      </c>
      <c r="J43" t="s">
        <v>216</v>
      </c>
      <c r="K43" t="s">
        <v>88</v>
      </c>
      <c r="L43" s="21">
        <f>IFERROR(INDEX(Fornecedores!$D:$D,MATCH(E43,Fornecedores!$A:$A,0)),15)</f>
        <v>5</v>
      </c>
      <c r="M43" s="21" t="e">
        <f>ROUND(SUMIFS(Movimentacoes!#REF!,Movimentacoes!#REF!,A43,Movimentacoes!#REF!,"Saida")/6,1)</f>
        <v>#REF!</v>
      </c>
      <c r="N43" s="21" t="e">
        <f t="shared" si="0"/>
        <v>#REF!</v>
      </c>
      <c r="O43" t="e">
        <f t="shared" si="1"/>
        <v>#REF!</v>
      </c>
      <c r="P43" s="20">
        <f t="shared" si="2"/>
        <v>1137.5</v>
      </c>
      <c r="Q43" s="21">
        <f t="shared" si="3"/>
        <v>0</v>
      </c>
      <c r="R43" s="21">
        <f t="shared" si="4"/>
        <v>0</v>
      </c>
      <c r="S43" s="22" t="str">
        <f>IFERROR(_xlfn.MAXIFS(Movimentacoes!#REF!,Movimentacoes!#REF!,A43),"")</f>
        <v/>
      </c>
      <c r="T43" s="21">
        <f t="shared" ca="1" si="5"/>
        <v>9999</v>
      </c>
      <c r="U43" t="e">
        <f t="shared" si="6"/>
        <v>#REF!</v>
      </c>
      <c r="V43" t="str">
        <f t="shared" si="7"/>
        <v>Medio</v>
      </c>
      <c r="W43" s="23">
        <f t="shared" si="8"/>
        <v>0.99649914806633888</v>
      </c>
      <c r="X43" t="str">
        <f t="shared" si="9"/>
        <v>C</v>
      </c>
    </row>
    <row r="44" spans="1:24" ht="15" customHeight="1" x14ac:dyDescent="0.25">
      <c r="A44" t="s">
        <v>217</v>
      </c>
      <c r="B44" t="s">
        <v>218</v>
      </c>
      <c r="C44" t="s">
        <v>212</v>
      </c>
      <c r="D44" t="s">
        <v>70</v>
      </c>
      <c r="E44" t="s">
        <v>204</v>
      </c>
      <c r="F44" s="20">
        <v>2.2000000000000002</v>
      </c>
      <c r="G44" s="21">
        <v>500</v>
      </c>
      <c r="H44" s="21">
        <v>100</v>
      </c>
      <c r="I44" s="21">
        <v>500</v>
      </c>
      <c r="J44" t="s">
        <v>219</v>
      </c>
      <c r="K44" t="s">
        <v>88</v>
      </c>
      <c r="L44" s="21">
        <f>IFERROR(INDEX(Fornecedores!$D:$D,MATCH(E44,Fornecedores!$A:$A,0)),15)</f>
        <v>5</v>
      </c>
      <c r="M44" s="21" t="e">
        <f>ROUND(SUMIFS(Movimentacoes!#REF!,Movimentacoes!#REF!,A44,Movimentacoes!#REF!,"Saida")/6,1)</f>
        <v>#REF!</v>
      </c>
      <c r="N44" s="21" t="e">
        <f t="shared" si="0"/>
        <v>#REF!</v>
      </c>
      <c r="O44" t="e">
        <f t="shared" si="1"/>
        <v>#REF!</v>
      </c>
      <c r="P44" s="20">
        <f t="shared" si="2"/>
        <v>1100</v>
      </c>
      <c r="Q44" s="21">
        <f t="shared" si="3"/>
        <v>0</v>
      </c>
      <c r="R44" s="21">
        <f t="shared" si="4"/>
        <v>0</v>
      </c>
      <c r="S44" s="22" t="str">
        <f>IFERROR(_xlfn.MAXIFS(Movimentacoes!#REF!,Movimentacoes!#REF!,A44),"")</f>
        <v/>
      </c>
      <c r="T44" s="21">
        <f t="shared" ca="1" si="5"/>
        <v>9999</v>
      </c>
      <c r="U44" t="e">
        <f t="shared" si="6"/>
        <v>#REF!</v>
      </c>
      <c r="V44" t="str">
        <f t="shared" si="7"/>
        <v>Medio</v>
      </c>
      <c r="W44" s="23">
        <f t="shared" si="8"/>
        <v>0.99846893687811755</v>
      </c>
      <c r="X44" t="str">
        <f t="shared" si="9"/>
        <v>C</v>
      </c>
    </row>
    <row r="45" spans="1:24" ht="15" customHeight="1" x14ac:dyDescent="0.25">
      <c r="A45" t="s">
        <v>220</v>
      </c>
      <c r="B45" t="s">
        <v>221</v>
      </c>
      <c r="C45" t="s">
        <v>212</v>
      </c>
      <c r="D45" t="s">
        <v>70</v>
      </c>
      <c r="E45" t="s">
        <v>204</v>
      </c>
      <c r="F45" s="20">
        <v>45</v>
      </c>
      <c r="G45" s="21">
        <v>80</v>
      </c>
      <c r="H45" s="21">
        <v>20</v>
      </c>
      <c r="I45" s="21">
        <v>80</v>
      </c>
      <c r="J45" t="s">
        <v>222</v>
      </c>
      <c r="K45" t="s">
        <v>88</v>
      </c>
      <c r="L45" s="21">
        <f>IFERROR(INDEX(Fornecedores!$D:$D,MATCH(E45,Fornecedores!$A:$A,0)),15)</f>
        <v>5</v>
      </c>
      <c r="M45" s="21" t="e">
        <f>ROUND(SUMIFS(Movimentacoes!#REF!,Movimentacoes!#REF!,A45,Movimentacoes!#REF!,"Saida")/6,1)</f>
        <v>#REF!</v>
      </c>
      <c r="N45" s="21" t="e">
        <f t="shared" si="0"/>
        <v>#REF!</v>
      </c>
      <c r="O45" t="e">
        <f t="shared" si="1"/>
        <v>#REF!</v>
      </c>
      <c r="P45" s="20">
        <f t="shared" si="2"/>
        <v>3600</v>
      </c>
      <c r="Q45" s="21">
        <f t="shared" si="3"/>
        <v>0</v>
      </c>
      <c r="R45" s="21">
        <f t="shared" si="4"/>
        <v>0</v>
      </c>
      <c r="S45" s="22" t="str">
        <f>IFERROR(_xlfn.MAXIFS(Movimentacoes!#REF!,Movimentacoes!#REF!,A45),"")</f>
        <v/>
      </c>
      <c r="T45" s="21">
        <f t="shared" ca="1" si="5"/>
        <v>9999</v>
      </c>
      <c r="U45" t="e">
        <f t="shared" si="6"/>
        <v>#REF!</v>
      </c>
      <c r="V45" t="str">
        <f t="shared" si="7"/>
        <v>Medio</v>
      </c>
      <c r="W45" s="23">
        <f t="shared" si="8"/>
        <v>0.95738540977427111</v>
      </c>
      <c r="X45" t="str">
        <f t="shared" si="9"/>
        <v>C</v>
      </c>
    </row>
    <row r="46" spans="1:24" ht="15" customHeight="1" x14ac:dyDescent="0.25">
      <c r="A46" t="s">
        <v>223</v>
      </c>
      <c r="B46" t="s">
        <v>224</v>
      </c>
      <c r="C46" t="s">
        <v>212</v>
      </c>
      <c r="D46" t="s">
        <v>70</v>
      </c>
      <c r="E46" t="s">
        <v>204</v>
      </c>
      <c r="F46" s="20">
        <v>8.9</v>
      </c>
      <c r="G46" s="21">
        <v>350</v>
      </c>
      <c r="H46" s="21">
        <v>50</v>
      </c>
      <c r="I46" s="21">
        <v>250</v>
      </c>
      <c r="J46" t="s">
        <v>225</v>
      </c>
      <c r="K46" t="s">
        <v>88</v>
      </c>
      <c r="L46" s="21">
        <f>IFERROR(INDEX(Fornecedores!$D:$D,MATCH(E46,Fornecedores!$A:$A,0)),15)</f>
        <v>5</v>
      </c>
      <c r="M46" s="21" t="e">
        <f>ROUND(SUMIFS(Movimentacoes!#REF!,Movimentacoes!#REF!,A46,Movimentacoes!#REF!,"Saida")/6,1)</f>
        <v>#REF!</v>
      </c>
      <c r="N46" s="21" t="e">
        <f t="shared" si="0"/>
        <v>#REF!</v>
      </c>
      <c r="O46" t="e">
        <f t="shared" si="1"/>
        <v>#REF!</v>
      </c>
      <c r="P46" s="20">
        <f t="shared" si="2"/>
        <v>3115</v>
      </c>
      <c r="Q46" s="21">
        <f t="shared" si="3"/>
        <v>0</v>
      </c>
      <c r="R46" s="21">
        <f t="shared" si="4"/>
        <v>0</v>
      </c>
      <c r="S46" s="22" t="str">
        <f>IFERROR(_xlfn.MAXIFS(Movimentacoes!#REF!,Movimentacoes!#REF!,A46),"")</f>
        <v/>
      </c>
      <c r="T46" s="21">
        <f t="shared" ca="1" si="5"/>
        <v>9999</v>
      </c>
      <c r="U46" t="e">
        <f t="shared" si="6"/>
        <v>#REF!</v>
      </c>
      <c r="V46" t="str">
        <f t="shared" si="7"/>
        <v>Medio</v>
      </c>
      <c r="W46" s="23">
        <f t="shared" si="8"/>
        <v>0.9686042524159012</v>
      </c>
      <c r="X46" t="str">
        <f t="shared" si="9"/>
        <v>C</v>
      </c>
    </row>
  </sheetData>
  <conditionalFormatting sqref="U2:U46">
    <cfRule type="expression" dxfId="12" priority="2">
      <formula>U2="Ruptura"</formula>
    </cfRule>
    <cfRule type="expression" dxfId="11" priority="3">
      <formula>U2="Abaixo do Minimo"</formula>
    </cfRule>
    <cfRule type="expression" dxfId="10" priority="4">
      <formula>U2="Ponto de Reposicao"</formula>
    </cfRule>
    <cfRule type="expression" dxfId="9" priority="5">
      <formula>U2="Normal"</formula>
    </cfRule>
  </conditionalFormatting>
  <conditionalFormatting sqref="V2:V46">
    <cfRule type="expression" dxfId="8" priority="6">
      <formula>V2="Alto"</formula>
    </cfRule>
    <cfRule type="expression" dxfId="7" priority="7">
      <formula>V2="Medio"</formula>
    </cfRule>
    <cfRule type="expression" dxfId="6" priority="8">
      <formula>V2="Baixo"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"/>
  <sheetViews>
    <sheetView tabSelected="1" zoomScaleNormal="100" workbookViewId="0">
      <pane ySplit="1" topLeftCell="A2" activePane="bottomLeft" state="frozen"/>
      <selection pane="bottomLeft" activeCell="E2" sqref="E2"/>
    </sheetView>
  </sheetViews>
  <sheetFormatPr defaultColWidth="8.7109375" defaultRowHeight="15" x14ac:dyDescent="0.25"/>
  <cols>
    <col min="1" max="1" width="10" customWidth="1"/>
    <col min="2" max="2" width="26" customWidth="1"/>
    <col min="3" max="4" width="18" customWidth="1"/>
    <col min="5" max="5" width="13" customWidth="1"/>
    <col min="6" max="6" width="15" customWidth="1"/>
    <col min="7" max="7" width="14" customWidth="1"/>
    <col min="8" max="8" width="10" customWidth="1"/>
    <col min="9" max="9" width="16" customWidth="1"/>
    <col min="10" max="10" width="12" customWidth="1"/>
  </cols>
  <sheetData>
    <row r="1" spans="1:10" ht="41.25" customHeight="1" x14ac:dyDescent="0.25">
      <c r="A1" s="19" t="s">
        <v>43</v>
      </c>
      <c r="B1" s="19" t="s">
        <v>226</v>
      </c>
      <c r="C1" s="19" t="s">
        <v>227</v>
      </c>
      <c r="D1" s="19" t="s">
        <v>228</v>
      </c>
      <c r="E1" s="19" t="s">
        <v>229</v>
      </c>
      <c r="F1" s="19" t="s">
        <v>230</v>
      </c>
      <c r="G1" s="19" t="s">
        <v>231</v>
      </c>
      <c r="H1" s="19" t="s">
        <v>232</v>
      </c>
      <c r="I1" s="19" t="s">
        <v>233</v>
      </c>
      <c r="J1" s="19" t="s">
        <v>234</v>
      </c>
    </row>
    <row r="2" spans="1:10" ht="15" customHeight="1" x14ac:dyDescent="0.25">
      <c r="A2" t="s">
        <v>120</v>
      </c>
      <c r="B2" t="s">
        <v>235</v>
      </c>
      <c r="C2" t="s">
        <v>236</v>
      </c>
      <c r="D2">
        <v>15</v>
      </c>
      <c r="E2">
        <f>COUNTIF(Pedidos!$E:$E,A2)</f>
        <v>2</v>
      </c>
      <c r="F2">
        <f ca="1">COUNTIFS(Pedidos!$E:$E,A2,Pedidos!$L:$L,"Recebido")</f>
        <v>1</v>
      </c>
      <c r="G2">
        <f>COUNTIFS(Pedidos!$E:$E,A2,Pedidos!$M:$M,"No Prazo")</f>
        <v>0</v>
      </c>
      <c r="H2" s="23">
        <f t="shared" ref="H2:H9" ca="1" si="0">IFERROR(G2/F2,0)</f>
        <v>0</v>
      </c>
      <c r="I2">
        <f ca="1">COUNTIFS(Pedidos!$E:$E,A2,Pedidos!$L:$L,"Atrasado")</f>
        <v>1</v>
      </c>
      <c r="J2" t="str">
        <f t="shared" ref="J2:J9" ca="1" si="1">IF(H2&gt;=0.95,"Excelente",IF(H2&gt;=0.85,"Bom",IF(H2&gt;=0.7,"Regular","Ruim")))</f>
        <v>Ruim</v>
      </c>
    </row>
    <row r="3" spans="1:10" ht="15" customHeight="1" x14ac:dyDescent="0.25">
      <c r="A3" t="s">
        <v>71</v>
      </c>
      <c r="B3" t="s">
        <v>237</v>
      </c>
      <c r="C3" t="s">
        <v>238</v>
      </c>
      <c r="D3">
        <v>30</v>
      </c>
      <c r="E3">
        <f>COUNTIF(Pedidos!$E:$E,A3)</f>
        <v>4</v>
      </c>
      <c r="F3">
        <f ca="1">COUNTIFS(Pedidos!$E:$E,A3,Pedidos!$L:$L,"Recebido")</f>
        <v>1</v>
      </c>
      <c r="G3">
        <f>COUNTIFS(Pedidos!$E:$E,A3,Pedidos!$M:$M,"No Prazo")</f>
        <v>0</v>
      </c>
      <c r="H3" s="23">
        <f t="shared" ca="1" si="0"/>
        <v>0</v>
      </c>
      <c r="I3">
        <f ca="1">COUNTIFS(Pedidos!$E:$E,A3,Pedidos!$L:$L,"Atrasado")</f>
        <v>2</v>
      </c>
      <c r="J3" t="str">
        <f t="shared" ca="1" si="1"/>
        <v>Ruim</v>
      </c>
    </row>
    <row r="4" spans="1:10" ht="15" customHeight="1" x14ac:dyDescent="0.25">
      <c r="A4" t="s">
        <v>86</v>
      </c>
      <c r="B4" t="s">
        <v>239</v>
      </c>
      <c r="C4" t="s">
        <v>240</v>
      </c>
      <c r="D4">
        <v>25</v>
      </c>
      <c r="E4">
        <f>COUNTIF(Pedidos!$E:$E,A4)</f>
        <v>2</v>
      </c>
      <c r="F4">
        <f ca="1">COUNTIFS(Pedidos!$E:$E,A4,Pedidos!$L:$L,"Recebido")</f>
        <v>2</v>
      </c>
      <c r="G4">
        <f>COUNTIFS(Pedidos!$E:$E,A4,Pedidos!$M:$M,"No Prazo")</f>
        <v>0</v>
      </c>
      <c r="H4" s="23">
        <f t="shared" ca="1" si="0"/>
        <v>0</v>
      </c>
      <c r="I4">
        <f ca="1">COUNTIFS(Pedidos!$E:$E,A4,Pedidos!$L:$L,"Atrasado")</f>
        <v>0</v>
      </c>
      <c r="J4" t="str">
        <f t="shared" ca="1" si="1"/>
        <v>Ruim</v>
      </c>
    </row>
    <row r="5" spans="1:10" ht="15" customHeight="1" x14ac:dyDescent="0.25">
      <c r="A5" t="s">
        <v>142</v>
      </c>
      <c r="B5" t="s">
        <v>241</v>
      </c>
      <c r="C5" t="s">
        <v>242</v>
      </c>
      <c r="D5">
        <v>12</v>
      </c>
      <c r="E5">
        <f>COUNTIF(Pedidos!$E:$E,A5)</f>
        <v>8</v>
      </c>
      <c r="F5">
        <f ca="1">COUNTIFS(Pedidos!$E:$E,A5,Pedidos!$L:$L,"Recebido")</f>
        <v>2</v>
      </c>
      <c r="G5">
        <f>COUNTIFS(Pedidos!$E:$E,A5,Pedidos!$M:$M,"No Prazo")</f>
        <v>1</v>
      </c>
      <c r="H5" s="23">
        <f t="shared" ca="1" si="0"/>
        <v>0.5</v>
      </c>
      <c r="I5">
        <f ca="1">COUNTIFS(Pedidos!$E:$E,A5,Pedidos!$L:$L,"Atrasado")</f>
        <v>6</v>
      </c>
      <c r="J5" t="str">
        <f t="shared" ca="1" si="1"/>
        <v>Ruim</v>
      </c>
    </row>
    <row r="6" spans="1:10" ht="15" customHeight="1" x14ac:dyDescent="0.25">
      <c r="A6" t="s">
        <v>135</v>
      </c>
      <c r="B6" t="s">
        <v>243</v>
      </c>
      <c r="C6" t="s">
        <v>244</v>
      </c>
      <c r="D6">
        <v>10</v>
      </c>
      <c r="E6">
        <f>COUNTIF(Pedidos!$E:$E,A6)</f>
        <v>2</v>
      </c>
      <c r="F6">
        <f ca="1">COUNTIFS(Pedidos!$E:$E,A6,Pedidos!$L:$L,"Recebido")</f>
        <v>1</v>
      </c>
      <c r="G6">
        <f>COUNTIFS(Pedidos!$E:$E,A6,Pedidos!$M:$M,"No Prazo")</f>
        <v>0</v>
      </c>
      <c r="H6" s="23">
        <f t="shared" ca="1" si="0"/>
        <v>0</v>
      </c>
      <c r="I6">
        <f ca="1">COUNTIFS(Pedidos!$E:$E,A6,Pedidos!$L:$L,"Atrasado")</f>
        <v>1</v>
      </c>
      <c r="J6" t="str">
        <f t="shared" ca="1" si="1"/>
        <v>Ruim</v>
      </c>
    </row>
    <row r="7" spans="1:10" ht="15" customHeight="1" x14ac:dyDescent="0.25">
      <c r="A7" t="s">
        <v>179</v>
      </c>
      <c r="B7" t="s">
        <v>245</v>
      </c>
      <c r="C7" t="s">
        <v>246</v>
      </c>
      <c r="D7">
        <v>20</v>
      </c>
      <c r="E7">
        <f>COUNTIF(Pedidos!$E:$E,A7)</f>
        <v>2</v>
      </c>
      <c r="F7">
        <f ca="1">COUNTIFS(Pedidos!$E:$E,A7,Pedidos!$L:$L,"Recebido")</f>
        <v>2</v>
      </c>
      <c r="G7">
        <f>COUNTIFS(Pedidos!$E:$E,A7,Pedidos!$M:$M,"No Prazo")</f>
        <v>1</v>
      </c>
      <c r="H7" s="23">
        <f t="shared" ca="1" si="0"/>
        <v>0.5</v>
      </c>
      <c r="I7">
        <f ca="1">COUNTIFS(Pedidos!$E:$E,A7,Pedidos!$L:$L,"Atrasado")</f>
        <v>0</v>
      </c>
      <c r="J7" t="str">
        <f t="shared" ca="1" si="1"/>
        <v>Ruim</v>
      </c>
    </row>
    <row r="8" spans="1:10" ht="15" customHeight="1" x14ac:dyDescent="0.25">
      <c r="A8" t="s">
        <v>100</v>
      </c>
      <c r="B8" t="s">
        <v>247</v>
      </c>
      <c r="C8" t="s">
        <v>248</v>
      </c>
      <c r="D8">
        <v>8</v>
      </c>
      <c r="E8">
        <f>COUNTIF(Pedidos!$E:$E,A8)</f>
        <v>6</v>
      </c>
      <c r="F8">
        <f ca="1">COUNTIFS(Pedidos!$E:$E,A8,Pedidos!$L:$L,"Recebido")</f>
        <v>4</v>
      </c>
      <c r="G8">
        <f>COUNTIFS(Pedidos!$E:$E,A8,Pedidos!$M:$M,"No Prazo")</f>
        <v>2</v>
      </c>
      <c r="H8" s="23">
        <f t="shared" ca="1" si="0"/>
        <v>0.5</v>
      </c>
      <c r="I8">
        <f ca="1">COUNTIFS(Pedidos!$E:$E,A8,Pedidos!$L:$L,"Atrasado")</f>
        <v>2</v>
      </c>
      <c r="J8" t="str">
        <f t="shared" ca="1" si="1"/>
        <v>Ruim</v>
      </c>
    </row>
    <row r="9" spans="1:10" ht="15" customHeight="1" x14ac:dyDescent="0.25">
      <c r="A9" t="s">
        <v>204</v>
      </c>
      <c r="B9" t="s">
        <v>249</v>
      </c>
      <c r="C9" t="s">
        <v>250</v>
      </c>
      <c r="D9">
        <v>5</v>
      </c>
      <c r="E9">
        <f>COUNTIF(Pedidos!$E:$E,A9)</f>
        <v>6</v>
      </c>
      <c r="F9">
        <f ca="1">COUNTIFS(Pedidos!$E:$E,A9,Pedidos!$L:$L,"Recebido")</f>
        <v>5</v>
      </c>
      <c r="G9">
        <f>COUNTIFS(Pedidos!$E:$E,A9,Pedidos!$M:$M,"No Prazo")</f>
        <v>1</v>
      </c>
      <c r="H9" s="23">
        <f t="shared" ca="1" si="0"/>
        <v>0.2</v>
      </c>
      <c r="I9">
        <f ca="1">COUNTIFS(Pedidos!$E:$E,A9,Pedidos!$L:$L,"Atrasado")</f>
        <v>1</v>
      </c>
      <c r="J9" t="str">
        <f t="shared" ca="1" si="1"/>
        <v>Ruim</v>
      </c>
    </row>
  </sheetData>
  <conditionalFormatting sqref="H2:H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68"/>
  <sheetViews>
    <sheetView zoomScaleNormal="100" workbookViewId="0">
      <pane ySplit="1" topLeftCell="A5" activePane="bottomLeft" state="frozen"/>
      <selection pane="bottomLeft" activeCell="J8" sqref="J8"/>
    </sheetView>
  </sheetViews>
  <sheetFormatPr defaultColWidth="8.7109375" defaultRowHeight="15" x14ac:dyDescent="0.25"/>
  <cols>
    <col min="1" max="1" width="10.42578125" bestFit="1" customWidth="1"/>
    <col min="2" max="2" width="21.28515625" customWidth="1"/>
    <col min="3" max="3" width="17.7109375" customWidth="1"/>
    <col min="4" max="4" width="10.5703125" customWidth="1"/>
    <col min="5" max="5" width="33.5703125" bestFit="1" customWidth="1"/>
    <col min="6" max="6" width="9.140625"/>
    <col min="7" max="7" width="11.140625" customWidth="1"/>
    <col min="8" max="8" width="13.5703125" customWidth="1"/>
    <col min="10" max="10" width="15.42578125" customWidth="1"/>
    <col min="11" max="11" width="12.7109375" customWidth="1"/>
    <col min="12" max="12" width="16.85546875" bestFit="1" customWidth="1"/>
  </cols>
  <sheetData>
    <row r="1" spans="1:12" ht="15" customHeight="1" x14ac:dyDescent="0.25">
      <c r="A1" t="s">
        <v>251</v>
      </c>
      <c r="B1" t="s">
        <v>356</v>
      </c>
      <c r="C1" t="s">
        <v>357</v>
      </c>
      <c r="D1" t="s">
        <v>358</v>
      </c>
      <c r="E1" t="s">
        <v>359</v>
      </c>
      <c r="F1" t="s">
        <v>360</v>
      </c>
      <c r="G1" t="s">
        <v>361</v>
      </c>
      <c r="H1" t="s">
        <v>253</v>
      </c>
      <c r="I1" t="s">
        <v>362</v>
      </c>
      <c r="J1" t="s">
        <v>363</v>
      </c>
      <c r="K1" t="s">
        <v>364</v>
      </c>
      <c r="L1" t="s">
        <v>365</v>
      </c>
    </row>
    <row r="2" spans="1:12" ht="15" customHeight="1" x14ac:dyDescent="0.25">
      <c r="A2" s="35">
        <v>46024</v>
      </c>
      <c r="B2">
        <v>500000001</v>
      </c>
      <c r="C2">
        <v>101</v>
      </c>
      <c r="D2" t="s">
        <v>67</v>
      </c>
      <c r="E2" t="s">
        <v>68</v>
      </c>
      <c r="F2" t="s">
        <v>366</v>
      </c>
      <c r="G2" t="s">
        <v>367</v>
      </c>
      <c r="H2">
        <v>5</v>
      </c>
      <c r="I2" t="s">
        <v>70</v>
      </c>
      <c r="J2">
        <v>18500</v>
      </c>
      <c r="K2">
        <v>92500</v>
      </c>
      <c r="L2" t="s">
        <v>368</v>
      </c>
    </row>
    <row r="3" spans="1:12" ht="15" customHeight="1" x14ac:dyDescent="0.25">
      <c r="A3" s="35">
        <v>46039</v>
      </c>
      <c r="B3">
        <v>500000002</v>
      </c>
      <c r="C3">
        <v>261</v>
      </c>
      <c r="D3" t="s">
        <v>67</v>
      </c>
      <c r="E3" t="s">
        <v>68</v>
      </c>
      <c r="F3" t="s">
        <v>366</v>
      </c>
      <c r="G3" t="s">
        <v>367</v>
      </c>
      <c r="H3">
        <v>-2</v>
      </c>
      <c r="I3" t="s">
        <v>70</v>
      </c>
      <c r="J3">
        <v>18500</v>
      </c>
      <c r="K3">
        <v>-37000</v>
      </c>
      <c r="L3" t="s">
        <v>369</v>
      </c>
    </row>
    <row r="4" spans="1:12" ht="15" customHeight="1" x14ac:dyDescent="0.25">
      <c r="A4" s="35">
        <v>46025</v>
      </c>
      <c r="B4">
        <v>500000003</v>
      </c>
      <c r="C4">
        <v>101</v>
      </c>
      <c r="D4" t="s">
        <v>74</v>
      </c>
      <c r="E4" t="s">
        <v>75</v>
      </c>
      <c r="F4" t="s">
        <v>366</v>
      </c>
      <c r="G4" t="s">
        <v>367</v>
      </c>
      <c r="H4">
        <v>5</v>
      </c>
      <c r="I4" t="s">
        <v>70</v>
      </c>
      <c r="J4">
        <v>19800</v>
      </c>
      <c r="K4">
        <v>99000</v>
      </c>
      <c r="L4" t="s">
        <v>370</v>
      </c>
    </row>
    <row r="5" spans="1:12" ht="15" customHeight="1" x14ac:dyDescent="0.25">
      <c r="A5" s="35">
        <v>46040</v>
      </c>
      <c r="B5">
        <v>500000004</v>
      </c>
      <c r="C5">
        <v>261</v>
      </c>
      <c r="D5" t="s">
        <v>74</v>
      </c>
      <c r="E5" t="s">
        <v>75</v>
      </c>
      <c r="F5" t="s">
        <v>366</v>
      </c>
      <c r="G5" t="s">
        <v>367</v>
      </c>
      <c r="H5">
        <v>-2</v>
      </c>
      <c r="I5" t="s">
        <v>70</v>
      </c>
      <c r="J5">
        <v>19800</v>
      </c>
      <c r="K5">
        <v>-39600</v>
      </c>
      <c r="L5" t="s">
        <v>371</v>
      </c>
    </row>
    <row r="6" spans="1:12" ht="15" customHeight="1" x14ac:dyDescent="0.25">
      <c r="A6" s="35">
        <v>46026</v>
      </c>
      <c r="B6">
        <v>500000005</v>
      </c>
      <c r="C6">
        <v>101</v>
      </c>
      <c r="D6" t="s">
        <v>77</v>
      </c>
      <c r="E6" t="s">
        <v>78</v>
      </c>
      <c r="F6" t="s">
        <v>366</v>
      </c>
      <c r="G6" t="s">
        <v>367</v>
      </c>
      <c r="H6">
        <v>5</v>
      </c>
      <c r="I6" t="s">
        <v>70</v>
      </c>
      <c r="J6">
        <v>12400</v>
      </c>
      <c r="K6">
        <v>62000</v>
      </c>
      <c r="L6" t="s">
        <v>372</v>
      </c>
    </row>
    <row r="7" spans="1:12" ht="15" customHeight="1" x14ac:dyDescent="0.25">
      <c r="A7" s="35">
        <v>46041</v>
      </c>
      <c r="B7">
        <v>500000006</v>
      </c>
      <c r="C7">
        <v>261</v>
      </c>
      <c r="D7" t="s">
        <v>77</v>
      </c>
      <c r="E7" t="s">
        <v>78</v>
      </c>
      <c r="F7" t="s">
        <v>366</v>
      </c>
      <c r="G7" t="s">
        <v>367</v>
      </c>
      <c r="H7">
        <v>-2</v>
      </c>
      <c r="I7" t="s">
        <v>70</v>
      </c>
      <c r="J7">
        <v>12400</v>
      </c>
      <c r="K7">
        <v>-24800</v>
      </c>
      <c r="L7" t="s">
        <v>373</v>
      </c>
    </row>
    <row r="8" spans="1:12" ht="15" customHeight="1" x14ac:dyDescent="0.25">
      <c r="A8" s="35">
        <v>46027</v>
      </c>
      <c r="B8">
        <v>500000007</v>
      </c>
      <c r="C8">
        <v>101</v>
      </c>
      <c r="D8" t="s">
        <v>81</v>
      </c>
      <c r="E8" t="s">
        <v>82</v>
      </c>
      <c r="F8" t="s">
        <v>366</v>
      </c>
      <c r="G8" t="s">
        <v>367</v>
      </c>
      <c r="H8">
        <v>5</v>
      </c>
      <c r="I8" t="s">
        <v>70</v>
      </c>
      <c r="J8">
        <v>11800</v>
      </c>
      <c r="K8">
        <v>59000</v>
      </c>
      <c r="L8" t="s">
        <v>374</v>
      </c>
    </row>
    <row r="9" spans="1:12" ht="15" customHeight="1" x14ac:dyDescent="0.25">
      <c r="A9" s="35">
        <v>46042</v>
      </c>
      <c r="B9">
        <v>500000008</v>
      </c>
      <c r="C9">
        <v>261</v>
      </c>
      <c r="D9" t="s">
        <v>81</v>
      </c>
      <c r="E9" t="s">
        <v>82</v>
      </c>
      <c r="F9" t="s">
        <v>366</v>
      </c>
      <c r="G9" t="s">
        <v>367</v>
      </c>
      <c r="H9">
        <v>-2</v>
      </c>
      <c r="I9" t="s">
        <v>70</v>
      </c>
      <c r="J9">
        <v>11800</v>
      </c>
      <c r="K9">
        <v>-23600</v>
      </c>
      <c r="L9" t="s">
        <v>375</v>
      </c>
    </row>
    <row r="10" spans="1:12" ht="15" customHeight="1" x14ac:dyDescent="0.25">
      <c r="A10" s="35">
        <v>46028</v>
      </c>
      <c r="B10">
        <v>500000009</v>
      </c>
      <c r="C10">
        <v>101</v>
      </c>
      <c r="D10" t="s">
        <v>84</v>
      </c>
      <c r="E10" t="s">
        <v>85</v>
      </c>
      <c r="F10" t="s">
        <v>366</v>
      </c>
      <c r="G10" t="s">
        <v>367</v>
      </c>
      <c r="H10">
        <v>5</v>
      </c>
      <c r="I10" t="s">
        <v>70</v>
      </c>
      <c r="J10">
        <v>3450</v>
      </c>
      <c r="K10">
        <v>17250</v>
      </c>
      <c r="L10" t="s">
        <v>376</v>
      </c>
    </row>
    <row r="11" spans="1:12" ht="15" customHeight="1" x14ac:dyDescent="0.25">
      <c r="A11" s="35">
        <v>46043</v>
      </c>
      <c r="B11">
        <v>500000010</v>
      </c>
      <c r="C11">
        <v>261</v>
      </c>
      <c r="D11" t="s">
        <v>84</v>
      </c>
      <c r="E11" t="s">
        <v>85</v>
      </c>
      <c r="F11" t="s">
        <v>366</v>
      </c>
      <c r="G11" t="s">
        <v>367</v>
      </c>
      <c r="H11">
        <v>-2</v>
      </c>
      <c r="I11" t="s">
        <v>70</v>
      </c>
      <c r="J11">
        <v>3450</v>
      </c>
      <c r="K11">
        <v>-6900</v>
      </c>
      <c r="L11" t="s">
        <v>377</v>
      </c>
    </row>
    <row r="12" spans="1:12" ht="15" customHeight="1" x14ac:dyDescent="0.25">
      <c r="A12" s="35">
        <v>46029</v>
      </c>
      <c r="B12">
        <v>500000011</v>
      </c>
      <c r="C12">
        <v>101</v>
      </c>
      <c r="D12" t="s">
        <v>89</v>
      </c>
      <c r="E12" t="s">
        <v>90</v>
      </c>
      <c r="F12" t="s">
        <v>366</v>
      </c>
      <c r="G12" t="s">
        <v>367</v>
      </c>
      <c r="H12">
        <v>5</v>
      </c>
      <c r="I12" t="s">
        <v>70</v>
      </c>
      <c r="J12">
        <v>2870</v>
      </c>
      <c r="K12">
        <v>14350</v>
      </c>
      <c r="L12" t="s">
        <v>378</v>
      </c>
    </row>
    <row r="13" spans="1:12" ht="15" customHeight="1" x14ac:dyDescent="0.25">
      <c r="A13" s="35">
        <v>46044</v>
      </c>
      <c r="B13">
        <v>500000012</v>
      </c>
      <c r="C13">
        <v>261</v>
      </c>
      <c r="D13" t="s">
        <v>89</v>
      </c>
      <c r="E13" t="s">
        <v>90</v>
      </c>
      <c r="F13" t="s">
        <v>366</v>
      </c>
      <c r="G13" t="s">
        <v>367</v>
      </c>
      <c r="H13">
        <v>-2</v>
      </c>
      <c r="I13" t="s">
        <v>70</v>
      </c>
      <c r="J13">
        <v>2870</v>
      </c>
      <c r="K13">
        <v>-5740</v>
      </c>
      <c r="L13" t="s">
        <v>379</v>
      </c>
    </row>
    <row r="14" spans="1:12" ht="15" customHeight="1" x14ac:dyDescent="0.25">
      <c r="A14" s="35">
        <v>46030</v>
      </c>
      <c r="B14">
        <v>500000013</v>
      </c>
      <c r="C14">
        <v>101</v>
      </c>
      <c r="D14" t="s">
        <v>92</v>
      </c>
      <c r="E14" t="s">
        <v>93</v>
      </c>
      <c r="F14" t="s">
        <v>366</v>
      </c>
      <c r="G14" t="s">
        <v>367</v>
      </c>
      <c r="H14">
        <v>5</v>
      </c>
      <c r="I14" t="s">
        <v>70</v>
      </c>
      <c r="J14">
        <v>1980</v>
      </c>
      <c r="K14">
        <v>9900</v>
      </c>
      <c r="L14" t="s">
        <v>380</v>
      </c>
    </row>
    <row r="15" spans="1:12" ht="15" customHeight="1" x14ac:dyDescent="0.25">
      <c r="A15" s="35">
        <v>46045</v>
      </c>
      <c r="B15">
        <v>500000014</v>
      </c>
      <c r="C15">
        <v>261</v>
      </c>
      <c r="D15" t="s">
        <v>92</v>
      </c>
      <c r="E15" t="s">
        <v>93</v>
      </c>
      <c r="F15" t="s">
        <v>366</v>
      </c>
      <c r="G15" t="s">
        <v>367</v>
      </c>
      <c r="H15">
        <v>-2</v>
      </c>
      <c r="I15" t="s">
        <v>70</v>
      </c>
      <c r="J15">
        <v>1980</v>
      </c>
      <c r="K15">
        <v>-3960</v>
      </c>
      <c r="L15" t="s">
        <v>381</v>
      </c>
    </row>
    <row r="16" spans="1:12" ht="15" customHeight="1" x14ac:dyDescent="0.25">
      <c r="A16" s="35">
        <v>46031</v>
      </c>
      <c r="B16">
        <v>500000015</v>
      </c>
      <c r="C16">
        <v>101</v>
      </c>
      <c r="D16" t="s">
        <v>95</v>
      </c>
      <c r="E16" t="s">
        <v>96</v>
      </c>
      <c r="F16" t="s">
        <v>366</v>
      </c>
      <c r="G16" t="s">
        <v>367</v>
      </c>
      <c r="H16">
        <v>5</v>
      </c>
      <c r="I16" t="s">
        <v>70</v>
      </c>
      <c r="J16">
        <v>24500</v>
      </c>
      <c r="K16">
        <v>122500</v>
      </c>
      <c r="L16" t="s">
        <v>382</v>
      </c>
    </row>
    <row r="17" spans="1:12" ht="15" customHeight="1" x14ac:dyDescent="0.25">
      <c r="A17" s="35">
        <v>46046</v>
      </c>
      <c r="B17">
        <v>500000016</v>
      </c>
      <c r="C17">
        <v>261</v>
      </c>
      <c r="D17" t="s">
        <v>95</v>
      </c>
      <c r="E17" t="s">
        <v>96</v>
      </c>
      <c r="F17" t="s">
        <v>366</v>
      </c>
      <c r="G17" t="s">
        <v>367</v>
      </c>
      <c r="H17">
        <v>-2</v>
      </c>
      <c r="I17" t="s">
        <v>70</v>
      </c>
      <c r="J17">
        <v>24500</v>
      </c>
      <c r="K17">
        <v>-49000</v>
      </c>
      <c r="L17" t="s">
        <v>383</v>
      </c>
    </row>
    <row r="18" spans="1:12" ht="15" customHeight="1" x14ac:dyDescent="0.25">
      <c r="A18" s="35">
        <v>46032</v>
      </c>
      <c r="B18">
        <v>500000017</v>
      </c>
      <c r="C18">
        <v>101</v>
      </c>
      <c r="D18" t="s">
        <v>98</v>
      </c>
      <c r="E18" t="s">
        <v>99</v>
      </c>
      <c r="F18" t="s">
        <v>366</v>
      </c>
      <c r="G18" t="s">
        <v>367</v>
      </c>
      <c r="H18">
        <v>5</v>
      </c>
      <c r="I18" t="s">
        <v>70</v>
      </c>
      <c r="J18">
        <v>1650</v>
      </c>
      <c r="K18">
        <v>8250</v>
      </c>
      <c r="L18" t="s">
        <v>384</v>
      </c>
    </row>
    <row r="19" spans="1:12" ht="15" customHeight="1" x14ac:dyDescent="0.25">
      <c r="A19" s="35">
        <v>46047</v>
      </c>
      <c r="B19">
        <v>500000018</v>
      </c>
      <c r="C19">
        <v>261</v>
      </c>
      <c r="D19" t="s">
        <v>98</v>
      </c>
      <c r="E19" t="s">
        <v>99</v>
      </c>
      <c r="F19" t="s">
        <v>366</v>
      </c>
      <c r="G19" t="s">
        <v>367</v>
      </c>
      <c r="H19">
        <v>-2</v>
      </c>
      <c r="I19" t="s">
        <v>70</v>
      </c>
      <c r="J19">
        <v>1650</v>
      </c>
      <c r="K19">
        <v>-3300</v>
      </c>
      <c r="L19" t="s">
        <v>385</v>
      </c>
    </row>
    <row r="20" spans="1:12" ht="15" customHeight="1" x14ac:dyDescent="0.25">
      <c r="A20" s="35">
        <v>46033</v>
      </c>
      <c r="B20">
        <v>500000019</v>
      </c>
      <c r="C20">
        <v>101</v>
      </c>
      <c r="D20" t="s">
        <v>102</v>
      </c>
      <c r="E20" t="s">
        <v>103</v>
      </c>
      <c r="F20" t="s">
        <v>366</v>
      </c>
      <c r="G20" t="s">
        <v>367</v>
      </c>
      <c r="H20">
        <v>5</v>
      </c>
      <c r="I20" t="s">
        <v>70</v>
      </c>
      <c r="J20">
        <v>2150</v>
      </c>
      <c r="K20">
        <v>10750</v>
      </c>
      <c r="L20" t="s">
        <v>386</v>
      </c>
    </row>
    <row r="21" spans="1:12" ht="15" customHeight="1" x14ac:dyDescent="0.25">
      <c r="A21" s="35">
        <v>46048</v>
      </c>
      <c r="B21">
        <v>500000020</v>
      </c>
      <c r="C21">
        <v>261</v>
      </c>
      <c r="D21" t="s">
        <v>102</v>
      </c>
      <c r="E21" t="s">
        <v>103</v>
      </c>
      <c r="F21" t="s">
        <v>366</v>
      </c>
      <c r="G21" t="s">
        <v>367</v>
      </c>
      <c r="H21">
        <v>-2</v>
      </c>
      <c r="I21" t="s">
        <v>70</v>
      </c>
      <c r="J21">
        <v>2150</v>
      </c>
      <c r="K21">
        <v>-4300</v>
      </c>
      <c r="L21" t="s">
        <v>387</v>
      </c>
    </row>
    <row r="22" spans="1:12" ht="15" customHeight="1" x14ac:dyDescent="0.25">
      <c r="A22" s="35">
        <v>46034</v>
      </c>
      <c r="B22">
        <v>500000021</v>
      </c>
      <c r="C22">
        <v>101</v>
      </c>
      <c r="D22" t="s">
        <v>105</v>
      </c>
      <c r="E22" t="s">
        <v>106</v>
      </c>
      <c r="F22" t="s">
        <v>366</v>
      </c>
      <c r="G22" t="s">
        <v>367</v>
      </c>
      <c r="H22">
        <v>5</v>
      </c>
      <c r="I22" t="s">
        <v>70</v>
      </c>
      <c r="J22">
        <v>9800</v>
      </c>
      <c r="K22">
        <v>49000</v>
      </c>
      <c r="L22" t="s">
        <v>388</v>
      </c>
    </row>
    <row r="23" spans="1:12" ht="15" customHeight="1" x14ac:dyDescent="0.25">
      <c r="A23" s="35">
        <v>46049</v>
      </c>
      <c r="B23">
        <v>500000022</v>
      </c>
      <c r="C23">
        <v>261</v>
      </c>
      <c r="D23" t="s">
        <v>105</v>
      </c>
      <c r="E23" t="s">
        <v>106</v>
      </c>
      <c r="F23" t="s">
        <v>366</v>
      </c>
      <c r="G23" t="s">
        <v>367</v>
      </c>
      <c r="H23">
        <v>-2</v>
      </c>
      <c r="I23" t="s">
        <v>70</v>
      </c>
      <c r="J23">
        <v>9800</v>
      </c>
      <c r="K23">
        <v>-19600</v>
      </c>
      <c r="L23" t="s">
        <v>389</v>
      </c>
    </row>
    <row r="24" spans="1:12" ht="15" customHeight="1" x14ac:dyDescent="0.25">
      <c r="A24" s="35">
        <v>46035</v>
      </c>
      <c r="B24">
        <v>500000023</v>
      </c>
      <c r="C24">
        <v>101</v>
      </c>
      <c r="D24" t="s">
        <v>108</v>
      </c>
      <c r="E24" t="s">
        <v>109</v>
      </c>
      <c r="F24" t="s">
        <v>366</v>
      </c>
      <c r="G24" t="s">
        <v>367</v>
      </c>
      <c r="H24">
        <v>5</v>
      </c>
      <c r="I24" t="s">
        <v>70</v>
      </c>
      <c r="J24">
        <v>5400</v>
      </c>
      <c r="K24">
        <v>27000</v>
      </c>
      <c r="L24" t="s">
        <v>390</v>
      </c>
    </row>
    <row r="25" spans="1:12" ht="15" customHeight="1" x14ac:dyDescent="0.25">
      <c r="A25" s="35">
        <v>46050</v>
      </c>
      <c r="B25">
        <v>500000024</v>
      </c>
      <c r="C25">
        <v>261</v>
      </c>
      <c r="D25" t="s">
        <v>108</v>
      </c>
      <c r="E25" t="s">
        <v>109</v>
      </c>
      <c r="F25" t="s">
        <v>366</v>
      </c>
      <c r="G25" t="s">
        <v>367</v>
      </c>
      <c r="H25">
        <v>-2</v>
      </c>
      <c r="I25" t="s">
        <v>70</v>
      </c>
      <c r="J25">
        <v>5400</v>
      </c>
      <c r="K25">
        <v>-10800</v>
      </c>
      <c r="L25" t="s">
        <v>391</v>
      </c>
    </row>
    <row r="26" spans="1:12" ht="15" customHeight="1" x14ac:dyDescent="0.25">
      <c r="A26" s="35">
        <v>46036</v>
      </c>
      <c r="B26">
        <v>500000025</v>
      </c>
      <c r="C26">
        <v>101</v>
      </c>
      <c r="D26" t="s">
        <v>111</v>
      </c>
      <c r="E26" t="s">
        <v>112</v>
      </c>
      <c r="F26" t="s">
        <v>366</v>
      </c>
      <c r="G26" t="s">
        <v>367</v>
      </c>
      <c r="H26">
        <v>5</v>
      </c>
      <c r="I26" t="s">
        <v>70</v>
      </c>
      <c r="J26">
        <v>145</v>
      </c>
      <c r="K26">
        <v>725</v>
      </c>
      <c r="L26" t="s">
        <v>392</v>
      </c>
    </row>
    <row r="27" spans="1:12" ht="15" customHeight="1" x14ac:dyDescent="0.25">
      <c r="A27" s="35">
        <v>46051</v>
      </c>
      <c r="B27">
        <v>500000026</v>
      </c>
      <c r="C27">
        <v>261</v>
      </c>
      <c r="D27" t="s">
        <v>111</v>
      </c>
      <c r="E27" t="s">
        <v>112</v>
      </c>
      <c r="F27" t="s">
        <v>366</v>
      </c>
      <c r="G27" t="s">
        <v>367</v>
      </c>
      <c r="H27">
        <v>-2</v>
      </c>
      <c r="I27" t="s">
        <v>70</v>
      </c>
      <c r="J27">
        <v>145</v>
      </c>
      <c r="K27">
        <v>-290</v>
      </c>
      <c r="L27" t="s">
        <v>393</v>
      </c>
    </row>
    <row r="28" spans="1:12" ht="15" customHeight="1" x14ac:dyDescent="0.25">
      <c r="A28" s="35">
        <v>46037</v>
      </c>
      <c r="B28">
        <v>500000027</v>
      </c>
      <c r="C28">
        <v>101</v>
      </c>
      <c r="D28" t="s">
        <v>115</v>
      </c>
      <c r="E28" t="s">
        <v>116</v>
      </c>
      <c r="F28" t="s">
        <v>366</v>
      </c>
      <c r="G28" t="s">
        <v>367</v>
      </c>
      <c r="H28">
        <v>5</v>
      </c>
      <c r="I28" t="s">
        <v>70</v>
      </c>
      <c r="J28">
        <v>210</v>
      </c>
      <c r="K28">
        <v>1050</v>
      </c>
      <c r="L28" t="s">
        <v>394</v>
      </c>
    </row>
    <row r="29" spans="1:12" ht="15" customHeight="1" x14ac:dyDescent="0.25">
      <c r="A29" s="35">
        <v>46052</v>
      </c>
      <c r="B29">
        <v>500000028</v>
      </c>
      <c r="C29">
        <v>261</v>
      </c>
      <c r="D29" t="s">
        <v>115</v>
      </c>
      <c r="E29" t="s">
        <v>116</v>
      </c>
      <c r="F29" t="s">
        <v>366</v>
      </c>
      <c r="G29" t="s">
        <v>367</v>
      </c>
      <c r="H29">
        <v>-2</v>
      </c>
      <c r="I29" t="s">
        <v>70</v>
      </c>
      <c r="J29">
        <v>210</v>
      </c>
      <c r="K29">
        <v>-420</v>
      </c>
      <c r="L29" t="s">
        <v>395</v>
      </c>
    </row>
    <row r="30" spans="1:12" ht="15" customHeight="1" x14ac:dyDescent="0.25">
      <c r="A30" s="35">
        <v>46038</v>
      </c>
      <c r="B30">
        <v>500000029</v>
      </c>
      <c r="C30">
        <v>101</v>
      </c>
      <c r="D30" t="s">
        <v>118</v>
      </c>
      <c r="E30" t="s">
        <v>119</v>
      </c>
      <c r="F30" t="s">
        <v>366</v>
      </c>
      <c r="G30" t="s">
        <v>367</v>
      </c>
      <c r="H30">
        <v>5</v>
      </c>
      <c r="I30" t="s">
        <v>70</v>
      </c>
      <c r="J30">
        <v>890</v>
      </c>
      <c r="K30">
        <v>4450</v>
      </c>
      <c r="L30" t="s">
        <v>396</v>
      </c>
    </row>
    <row r="31" spans="1:12" ht="15" customHeight="1" x14ac:dyDescent="0.25">
      <c r="A31" s="35">
        <v>46053</v>
      </c>
      <c r="B31">
        <v>500000030</v>
      </c>
      <c r="C31">
        <v>261</v>
      </c>
      <c r="D31" t="s">
        <v>118</v>
      </c>
      <c r="E31" t="s">
        <v>119</v>
      </c>
      <c r="F31" t="s">
        <v>366</v>
      </c>
      <c r="G31" t="s">
        <v>367</v>
      </c>
      <c r="H31">
        <v>-2</v>
      </c>
      <c r="I31" t="s">
        <v>70</v>
      </c>
      <c r="J31">
        <v>890</v>
      </c>
      <c r="K31">
        <v>-1780</v>
      </c>
      <c r="L31" t="s">
        <v>397</v>
      </c>
    </row>
    <row r="32" spans="1:12" ht="15" customHeight="1" x14ac:dyDescent="0.25">
      <c r="A32" s="35">
        <v>46039</v>
      </c>
      <c r="B32">
        <v>500000031</v>
      </c>
      <c r="C32">
        <v>101</v>
      </c>
      <c r="D32" t="s">
        <v>122</v>
      </c>
      <c r="E32" t="s">
        <v>123</v>
      </c>
      <c r="F32" t="s">
        <v>366</v>
      </c>
      <c r="G32" t="s">
        <v>367</v>
      </c>
      <c r="H32">
        <v>5</v>
      </c>
      <c r="I32" t="s">
        <v>70</v>
      </c>
      <c r="J32">
        <v>1240</v>
      </c>
      <c r="K32">
        <v>6200</v>
      </c>
      <c r="L32" t="s">
        <v>398</v>
      </c>
    </row>
    <row r="33" spans="1:12" ht="15" customHeight="1" x14ac:dyDescent="0.25">
      <c r="A33" s="35">
        <v>46054</v>
      </c>
      <c r="B33">
        <v>500000032</v>
      </c>
      <c r="C33">
        <v>261</v>
      </c>
      <c r="D33" t="s">
        <v>122</v>
      </c>
      <c r="E33" t="s">
        <v>123</v>
      </c>
      <c r="F33" t="s">
        <v>366</v>
      </c>
      <c r="G33" t="s">
        <v>367</v>
      </c>
      <c r="H33">
        <v>-2</v>
      </c>
      <c r="I33" t="s">
        <v>70</v>
      </c>
      <c r="J33">
        <v>1240</v>
      </c>
      <c r="K33">
        <v>-2480</v>
      </c>
      <c r="L33" t="s">
        <v>399</v>
      </c>
    </row>
    <row r="34" spans="1:12" ht="15" customHeight="1" x14ac:dyDescent="0.25">
      <c r="A34" s="35">
        <v>46040</v>
      </c>
      <c r="B34">
        <v>500000033</v>
      </c>
      <c r="C34">
        <v>101</v>
      </c>
      <c r="D34" t="s">
        <v>125</v>
      </c>
      <c r="E34" t="s">
        <v>126</v>
      </c>
      <c r="F34" t="s">
        <v>366</v>
      </c>
      <c r="G34" t="s">
        <v>367</v>
      </c>
      <c r="H34">
        <v>5</v>
      </c>
      <c r="I34" t="s">
        <v>70</v>
      </c>
      <c r="J34">
        <v>2380</v>
      </c>
      <c r="K34">
        <v>11900</v>
      </c>
      <c r="L34" t="s">
        <v>400</v>
      </c>
    </row>
    <row r="35" spans="1:12" ht="15" customHeight="1" x14ac:dyDescent="0.25">
      <c r="A35" s="35">
        <v>46055</v>
      </c>
      <c r="B35">
        <v>500000034</v>
      </c>
      <c r="C35">
        <v>261</v>
      </c>
      <c r="D35" t="s">
        <v>125</v>
      </c>
      <c r="E35" t="s">
        <v>126</v>
      </c>
      <c r="F35" t="s">
        <v>366</v>
      </c>
      <c r="G35" t="s">
        <v>367</v>
      </c>
      <c r="H35">
        <v>-2</v>
      </c>
      <c r="I35" t="s">
        <v>70</v>
      </c>
      <c r="J35">
        <v>2380</v>
      </c>
      <c r="K35">
        <v>-4760</v>
      </c>
      <c r="L35" t="s">
        <v>401</v>
      </c>
    </row>
    <row r="36" spans="1:12" ht="15" customHeight="1" x14ac:dyDescent="0.25">
      <c r="A36" s="35">
        <v>46041</v>
      </c>
      <c r="B36">
        <v>500000035</v>
      </c>
      <c r="C36">
        <v>101</v>
      </c>
      <c r="D36" t="s">
        <v>128</v>
      </c>
      <c r="E36" t="s">
        <v>129</v>
      </c>
      <c r="F36" t="s">
        <v>366</v>
      </c>
      <c r="G36" t="s">
        <v>367</v>
      </c>
      <c r="H36">
        <v>5</v>
      </c>
      <c r="I36" t="s">
        <v>70</v>
      </c>
      <c r="J36">
        <v>68</v>
      </c>
      <c r="K36">
        <v>340</v>
      </c>
      <c r="L36" t="s">
        <v>402</v>
      </c>
    </row>
    <row r="37" spans="1:12" ht="15" customHeight="1" x14ac:dyDescent="0.25">
      <c r="A37" s="35">
        <v>46056</v>
      </c>
      <c r="B37">
        <v>500000036</v>
      </c>
      <c r="C37">
        <v>261</v>
      </c>
      <c r="D37" t="s">
        <v>128</v>
      </c>
      <c r="E37" t="s">
        <v>129</v>
      </c>
      <c r="F37" t="s">
        <v>366</v>
      </c>
      <c r="G37" t="s">
        <v>367</v>
      </c>
      <c r="H37">
        <v>-2</v>
      </c>
      <c r="I37" t="s">
        <v>70</v>
      </c>
      <c r="J37">
        <v>68</v>
      </c>
      <c r="K37">
        <v>-136</v>
      </c>
      <c r="L37" t="s">
        <v>403</v>
      </c>
    </row>
    <row r="38" spans="1:12" ht="15" customHeight="1" x14ac:dyDescent="0.25">
      <c r="A38" s="35">
        <v>46042</v>
      </c>
      <c r="B38">
        <v>500000037</v>
      </c>
      <c r="C38">
        <v>101</v>
      </c>
      <c r="D38" t="s">
        <v>131</v>
      </c>
      <c r="E38" t="s">
        <v>132</v>
      </c>
      <c r="F38" t="s">
        <v>366</v>
      </c>
      <c r="G38" t="s">
        <v>367</v>
      </c>
      <c r="H38">
        <v>5</v>
      </c>
      <c r="I38" t="s">
        <v>134</v>
      </c>
      <c r="J38">
        <v>320</v>
      </c>
      <c r="K38">
        <v>1600</v>
      </c>
      <c r="L38" t="s">
        <v>404</v>
      </c>
    </row>
    <row r="39" spans="1:12" ht="15" customHeight="1" x14ac:dyDescent="0.25">
      <c r="A39" s="35">
        <v>46057</v>
      </c>
      <c r="B39">
        <v>500000038</v>
      </c>
      <c r="C39">
        <v>261</v>
      </c>
      <c r="D39" t="s">
        <v>131</v>
      </c>
      <c r="E39" t="s">
        <v>132</v>
      </c>
      <c r="F39" t="s">
        <v>366</v>
      </c>
      <c r="G39" t="s">
        <v>367</v>
      </c>
      <c r="H39">
        <v>-2</v>
      </c>
      <c r="I39" t="s">
        <v>134</v>
      </c>
      <c r="J39">
        <v>320</v>
      </c>
      <c r="K39">
        <v>-640</v>
      </c>
      <c r="L39" t="s">
        <v>405</v>
      </c>
    </row>
    <row r="40" spans="1:12" ht="15" customHeight="1" x14ac:dyDescent="0.25">
      <c r="A40" s="35">
        <v>46043</v>
      </c>
      <c r="B40">
        <v>500000039</v>
      </c>
      <c r="C40">
        <v>101</v>
      </c>
      <c r="D40" t="s">
        <v>137</v>
      </c>
      <c r="E40" t="s">
        <v>138</v>
      </c>
      <c r="F40" t="s">
        <v>366</v>
      </c>
      <c r="G40" t="s">
        <v>367</v>
      </c>
      <c r="H40">
        <v>5</v>
      </c>
      <c r="I40" t="s">
        <v>70</v>
      </c>
      <c r="J40">
        <v>95</v>
      </c>
      <c r="K40">
        <v>475</v>
      </c>
      <c r="L40" t="s">
        <v>406</v>
      </c>
    </row>
    <row r="41" spans="1:12" ht="15" customHeight="1" x14ac:dyDescent="0.25">
      <c r="A41" s="35">
        <v>46058</v>
      </c>
      <c r="B41">
        <v>500000040</v>
      </c>
      <c r="C41">
        <v>261</v>
      </c>
      <c r="D41" t="s">
        <v>137</v>
      </c>
      <c r="E41" t="s">
        <v>138</v>
      </c>
      <c r="F41" t="s">
        <v>366</v>
      </c>
      <c r="G41" t="s">
        <v>367</v>
      </c>
      <c r="H41">
        <v>-2</v>
      </c>
      <c r="I41" t="s">
        <v>70</v>
      </c>
      <c r="J41">
        <v>95</v>
      </c>
      <c r="K41">
        <v>-190</v>
      </c>
      <c r="L41" t="s">
        <v>407</v>
      </c>
    </row>
    <row r="42" spans="1:12" ht="15" customHeight="1" x14ac:dyDescent="0.25">
      <c r="A42" s="35">
        <v>46044</v>
      </c>
      <c r="B42">
        <v>500000041</v>
      </c>
      <c r="C42">
        <v>101</v>
      </c>
      <c r="D42" t="s">
        <v>140</v>
      </c>
      <c r="E42" t="s">
        <v>141</v>
      </c>
      <c r="F42" t="s">
        <v>366</v>
      </c>
      <c r="G42" t="s">
        <v>367</v>
      </c>
      <c r="H42">
        <v>5</v>
      </c>
      <c r="I42" t="s">
        <v>70</v>
      </c>
      <c r="J42">
        <v>2450</v>
      </c>
      <c r="K42">
        <v>12250</v>
      </c>
      <c r="L42" t="s">
        <v>408</v>
      </c>
    </row>
    <row r="43" spans="1:12" ht="15" customHeight="1" x14ac:dyDescent="0.25">
      <c r="A43" s="35">
        <v>46059</v>
      </c>
      <c r="B43">
        <v>500000042</v>
      </c>
      <c r="C43">
        <v>261</v>
      </c>
      <c r="D43" t="s">
        <v>140</v>
      </c>
      <c r="E43" t="s">
        <v>141</v>
      </c>
      <c r="F43" t="s">
        <v>366</v>
      </c>
      <c r="G43" t="s">
        <v>367</v>
      </c>
      <c r="H43">
        <v>-2</v>
      </c>
      <c r="I43" t="s">
        <v>70</v>
      </c>
      <c r="J43">
        <v>2450</v>
      </c>
      <c r="K43">
        <v>-4900</v>
      </c>
      <c r="L43" t="s">
        <v>409</v>
      </c>
    </row>
    <row r="44" spans="1:12" ht="15" customHeight="1" x14ac:dyDescent="0.25">
      <c r="A44" s="35">
        <v>46045</v>
      </c>
      <c r="B44">
        <v>500000043</v>
      </c>
      <c r="C44">
        <v>101</v>
      </c>
      <c r="D44" t="s">
        <v>144</v>
      </c>
      <c r="E44" t="s">
        <v>145</v>
      </c>
      <c r="F44" t="s">
        <v>366</v>
      </c>
      <c r="G44" t="s">
        <v>367</v>
      </c>
      <c r="H44">
        <v>5</v>
      </c>
      <c r="I44" t="s">
        <v>70</v>
      </c>
      <c r="J44">
        <v>2180</v>
      </c>
      <c r="K44">
        <v>10900</v>
      </c>
      <c r="L44" t="s">
        <v>410</v>
      </c>
    </row>
    <row r="45" spans="1:12" ht="15" customHeight="1" x14ac:dyDescent="0.25">
      <c r="A45" s="35">
        <v>46060</v>
      </c>
      <c r="B45">
        <v>500000044</v>
      </c>
      <c r="C45">
        <v>261</v>
      </c>
      <c r="D45" t="s">
        <v>144</v>
      </c>
      <c r="E45" t="s">
        <v>145</v>
      </c>
      <c r="F45" t="s">
        <v>366</v>
      </c>
      <c r="G45" t="s">
        <v>367</v>
      </c>
      <c r="H45">
        <v>-2</v>
      </c>
      <c r="I45" t="s">
        <v>70</v>
      </c>
      <c r="J45">
        <v>2180</v>
      </c>
      <c r="K45">
        <v>-4360</v>
      </c>
      <c r="L45" t="s">
        <v>411</v>
      </c>
    </row>
    <row r="46" spans="1:12" ht="15" customHeight="1" x14ac:dyDescent="0.25">
      <c r="A46" s="35">
        <v>46046</v>
      </c>
      <c r="B46">
        <v>500000045</v>
      </c>
      <c r="C46">
        <v>101</v>
      </c>
      <c r="D46" t="s">
        <v>147</v>
      </c>
      <c r="E46" t="s">
        <v>148</v>
      </c>
      <c r="F46" t="s">
        <v>366</v>
      </c>
      <c r="G46" t="s">
        <v>367</v>
      </c>
      <c r="H46">
        <v>5</v>
      </c>
      <c r="I46" t="s">
        <v>70</v>
      </c>
      <c r="J46">
        <v>3200</v>
      </c>
      <c r="K46">
        <v>16000</v>
      </c>
      <c r="L46" t="s">
        <v>412</v>
      </c>
    </row>
    <row r="47" spans="1:12" ht="15" customHeight="1" x14ac:dyDescent="0.25">
      <c r="A47" s="35">
        <v>46061</v>
      </c>
      <c r="B47">
        <v>500000046</v>
      </c>
      <c r="C47">
        <v>261</v>
      </c>
      <c r="D47" t="s">
        <v>147</v>
      </c>
      <c r="E47" t="s">
        <v>148</v>
      </c>
      <c r="F47" t="s">
        <v>366</v>
      </c>
      <c r="G47" t="s">
        <v>367</v>
      </c>
      <c r="H47">
        <v>-2</v>
      </c>
      <c r="I47" t="s">
        <v>70</v>
      </c>
      <c r="J47">
        <v>3200</v>
      </c>
      <c r="K47">
        <v>-6400</v>
      </c>
      <c r="L47" t="s">
        <v>413</v>
      </c>
    </row>
    <row r="48" spans="1:12" ht="15" customHeight="1" x14ac:dyDescent="0.25">
      <c r="A48" s="35">
        <v>46047</v>
      </c>
      <c r="B48">
        <v>500000047</v>
      </c>
      <c r="C48">
        <v>101</v>
      </c>
      <c r="D48" t="s">
        <v>151</v>
      </c>
      <c r="E48" t="s">
        <v>152</v>
      </c>
      <c r="F48" t="s">
        <v>366</v>
      </c>
      <c r="G48" t="s">
        <v>367</v>
      </c>
      <c r="H48">
        <v>5</v>
      </c>
      <c r="I48" t="s">
        <v>70</v>
      </c>
      <c r="J48">
        <v>4100</v>
      </c>
      <c r="K48">
        <v>20500</v>
      </c>
      <c r="L48" t="s">
        <v>414</v>
      </c>
    </row>
    <row r="49" spans="1:12" ht="15" customHeight="1" x14ac:dyDescent="0.25">
      <c r="A49" s="35">
        <v>46062</v>
      </c>
      <c r="B49">
        <v>500000048</v>
      </c>
      <c r="C49">
        <v>261</v>
      </c>
      <c r="D49" t="s">
        <v>151</v>
      </c>
      <c r="E49" t="s">
        <v>152</v>
      </c>
      <c r="F49" t="s">
        <v>366</v>
      </c>
      <c r="G49" t="s">
        <v>367</v>
      </c>
      <c r="H49">
        <v>-2</v>
      </c>
      <c r="I49" t="s">
        <v>70</v>
      </c>
      <c r="J49">
        <v>4100</v>
      </c>
      <c r="K49">
        <v>-8200</v>
      </c>
      <c r="L49" t="s">
        <v>415</v>
      </c>
    </row>
    <row r="50" spans="1:12" ht="15" customHeight="1" x14ac:dyDescent="0.25">
      <c r="A50" s="35">
        <v>46048</v>
      </c>
      <c r="B50">
        <v>500000049</v>
      </c>
      <c r="C50">
        <v>101</v>
      </c>
      <c r="D50" t="s">
        <v>154</v>
      </c>
      <c r="E50" t="s">
        <v>155</v>
      </c>
      <c r="F50" t="s">
        <v>366</v>
      </c>
      <c r="G50" t="s">
        <v>367</v>
      </c>
      <c r="H50">
        <v>5</v>
      </c>
      <c r="I50" t="s">
        <v>70</v>
      </c>
      <c r="J50">
        <v>32500</v>
      </c>
      <c r="K50">
        <v>162500</v>
      </c>
      <c r="L50" t="s">
        <v>416</v>
      </c>
    </row>
    <row r="51" spans="1:12" ht="15" customHeight="1" x14ac:dyDescent="0.25">
      <c r="A51" s="35">
        <v>46063</v>
      </c>
      <c r="B51">
        <v>500000050</v>
      </c>
      <c r="C51">
        <v>261</v>
      </c>
      <c r="D51" t="s">
        <v>154</v>
      </c>
      <c r="E51" t="s">
        <v>155</v>
      </c>
      <c r="F51" t="s">
        <v>366</v>
      </c>
      <c r="G51" t="s">
        <v>367</v>
      </c>
      <c r="H51">
        <v>-2</v>
      </c>
      <c r="I51" t="s">
        <v>70</v>
      </c>
      <c r="J51">
        <v>32500</v>
      </c>
      <c r="K51">
        <v>-65000</v>
      </c>
      <c r="L51" t="s">
        <v>417</v>
      </c>
    </row>
    <row r="52" spans="1:12" ht="15" customHeight="1" x14ac:dyDescent="0.25">
      <c r="A52" s="35">
        <v>46049</v>
      </c>
      <c r="B52">
        <v>500000051</v>
      </c>
      <c r="C52">
        <v>101</v>
      </c>
      <c r="D52" t="s">
        <v>158</v>
      </c>
      <c r="E52" t="s">
        <v>159</v>
      </c>
      <c r="F52" t="s">
        <v>366</v>
      </c>
      <c r="G52" t="s">
        <v>367</v>
      </c>
      <c r="H52">
        <v>5</v>
      </c>
      <c r="I52" t="s">
        <v>70</v>
      </c>
      <c r="J52">
        <v>17800</v>
      </c>
      <c r="K52">
        <v>89000</v>
      </c>
      <c r="L52" t="s">
        <v>418</v>
      </c>
    </row>
    <row r="53" spans="1:12" ht="15" customHeight="1" x14ac:dyDescent="0.25">
      <c r="A53" s="35">
        <v>46064</v>
      </c>
      <c r="B53">
        <v>500000052</v>
      </c>
      <c r="C53">
        <v>261</v>
      </c>
      <c r="D53" t="s">
        <v>158</v>
      </c>
      <c r="E53" t="s">
        <v>159</v>
      </c>
      <c r="F53" t="s">
        <v>366</v>
      </c>
      <c r="G53" t="s">
        <v>367</v>
      </c>
      <c r="H53">
        <v>-2</v>
      </c>
      <c r="I53" t="s">
        <v>70</v>
      </c>
      <c r="J53">
        <v>17800</v>
      </c>
      <c r="K53">
        <v>-35600</v>
      </c>
      <c r="L53" t="s">
        <v>419</v>
      </c>
    </row>
    <row r="54" spans="1:12" ht="15" customHeight="1" x14ac:dyDescent="0.25">
      <c r="A54" s="35">
        <v>46050</v>
      </c>
      <c r="B54">
        <v>500000053</v>
      </c>
      <c r="C54">
        <v>101</v>
      </c>
      <c r="D54" t="s">
        <v>161</v>
      </c>
      <c r="E54" t="s">
        <v>162</v>
      </c>
      <c r="F54" t="s">
        <v>366</v>
      </c>
      <c r="G54" t="s">
        <v>367</v>
      </c>
      <c r="H54">
        <v>5</v>
      </c>
      <c r="I54" t="s">
        <v>70</v>
      </c>
      <c r="J54">
        <v>8900</v>
      </c>
      <c r="K54">
        <v>44500</v>
      </c>
      <c r="L54" t="s">
        <v>420</v>
      </c>
    </row>
    <row r="55" spans="1:12" ht="15" customHeight="1" x14ac:dyDescent="0.25">
      <c r="A55" s="35">
        <v>46065</v>
      </c>
      <c r="B55">
        <v>500000054</v>
      </c>
      <c r="C55">
        <v>261</v>
      </c>
      <c r="D55" t="s">
        <v>161</v>
      </c>
      <c r="E55" t="s">
        <v>162</v>
      </c>
      <c r="F55" t="s">
        <v>366</v>
      </c>
      <c r="G55" t="s">
        <v>367</v>
      </c>
      <c r="H55">
        <v>-2</v>
      </c>
      <c r="I55" t="s">
        <v>70</v>
      </c>
      <c r="J55">
        <v>8900</v>
      </c>
      <c r="K55">
        <v>-17800</v>
      </c>
      <c r="L55" t="s">
        <v>421</v>
      </c>
    </row>
    <row r="56" spans="1:12" ht="15" customHeight="1" x14ac:dyDescent="0.25">
      <c r="A56" s="35">
        <v>46051</v>
      </c>
      <c r="B56">
        <v>500000055</v>
      </c>
      <c r="C56">
        <v>101</v>
      </c>
      <c r="D56" t="s">
        <v>164</v>
      </c>
      <c r="E56" t="s">
        <v>165</v>
      </c>
      <c r="F56" t="s">
        <v>366</v>
      </c>
      <c r="G56" t="s">
        <v>367</v>
      </c>
      <c r="H56">
        <v>5</v>
      </c>
      <c r="I56" t="s">
        <v>70</v>
      </c>
      <c r="J56">
        <v>1350</v>
      </c>
      <c r="K56">
        <v>6750</v>
      </c>
      <c r="L56" t="s">
        <v>422</v>
      </c>
    </row>
    <row r="57" spans="1:12" ht="15" customHeight="1" x14ac:dyDescent="0.25">
      <c r="A57" s="35">
        <v>46066</v>
      </c>
      <c r="B57">
        <v>500000056</v>
      </c>
      <c r="C57">
        <v>261</v>
      </c>
      <c r="D57" t="s">
        <v>164</v>
      </c>
      <c r="E57" t="s">
        <v>165</v>
      </c>
      <c r="F57" t="s">
        <v>366</v>
      </c>
      <c r="G57" t="s">
        <v>367</v>
      </c>
      <c r="H57">
        <v>-2</v>
      </c>
      <c r="I57" t="s">
        <v>70</v>
      </c>
      <c r="J57">
        <v>1350</v>
      </c>
      <c r="K57">
        <v>-2700</v>
      </c>
      <c r="L57" t="s">
        <v>423</v>
      </c>
    </row>
    <row r="58" spans="1:12" ht="15" customHeight="1" x14ac:dyDescent="0.25">
      <c r="A58" s="35">
        <v>46052</v>
      </c>
      <c r="B58">
        <v>500000057</v>
      </c>
      <c r="C58">
        <v>101</v>
      </c>
      <c r="D58" t="s">
        <v>167</v>
      </c>
      <c r="E58" t="s">
        <v>168</v>
      </c>
      <c r="F58" t="s">
        <v>366</v>
      </c>
      <c r="G58" t="s">
        <v>367</v>
      </c>
      <c r="H58">
        <v>5</v>
      </c>
      <c r="I58" t="s">
        <v>70</v>
      </c>
      <c r="J58">
        <v>780</v>
      </c>
      <c r="K58">
        <v>3900</v>
      </c>
      <c r="L58" t="s">
        <v>424</v>
      </c>
    </row>
    <row r="59" spans="1:12" ht="15" customHeight="1" x14ac:dyDescent="0.25">
      <c r="A59" s="35">
        <v>46067</v>
      </c>
      <c r="B59">
        <v>500000058</v>
      </c>
      <c r="C59">
        <v>261</v>
      </c>
      <c r="D59" t="s">
        <v>167</v>
      </c>
      <c r="E59" t="s">
        <v>168</v>
      </c>
      <c r="F59" t="s">
        <v>366</v>
      </c>
      <c r="G59" t="s">
        <v>367</v>
      </c>
      <c r="H59">
        <v>-2</v>
      </c>
      <c r="I59" t="s">
        <v>70</v>
      </c>
      <c r="J59">
        <v>780</v>
      </c>
      <c r="K59">
        <v>-1560</v>
      </c>
      <c r="L59" t="s">
        <v>425</v>
      </c>
    </row>
    <row r="60" spans="1:12" ht="15" customHeight="1" x14ac:dyDescent="0.25">
      <c r="A60" s="35">
        <v>46053</v>
      </c>
      <c r="B60">
        <v>500000059</v>
      </c>
      <c r="C60">
        <v>101</v>
      </c>
      <c r="D60" t="s">
        <v>170</v>
      </c>
      <c r="E60" t="s">
        <v>171</v>
      </c>
      <c r="F60" t="s">
        <v>366</v>
      </c>
      <c r="G60" t="s">
        <v>367</v>
      </c>
      <c r="H60">
        <v>5</v>
      </c>
      <c r="I60" t="s">
        <v>134</v>
      </c>
      <c r="J60">
        <v>22</v>
      </c>
      <c r="K60">
        <v>110</v>
      </c>
      <c r="L60" t="s">
        <v>426</v>
      </c>
    </row>
    <row r="61" spans="1:12" ht="15" customHeight="1" x14ac:dyDescent="0.25">
      <c r="A61" s="35">
        <v>46068</v>
      </c>
      <c r="B61">
        <v>500000060</v>
      </c>
      <c r="C61">
        <v>261</v>
      </c>
      <c r="D61" t="s">
        <v>170</v>
      </c>
      <c r="E61" t="s">
        <v>171</v>
      </c>
      <c r="F61" t="s">
        <v>366</v>
      </c>
      <c r="G61" t="s">
        <v>367</v>
      </c>
      <c r="H61">
        <v>-2</v>
      </c>
      <c r="I61" t="s">
        <v>134</v>
      </c>
      <c r="J61">
        <v>22</v>
      </c>
      <c r="K61">
        <v>-44</v>
      </c>
      <c r="L61" t="s">
        <v>427</v>
      </c>
    </row>
    <row r="62" spans="1:12" ht="15" customHeight="1" x14ac:dyDescent="0.25">
      <c r="A62" s="35">
        <v>46054</v>
      </c>
      <c r="B62">
        <v>500000061</v>
      </c>
      <c r="C62">
        <v>101</v>
      </c>
      <c r="D62" t="s">
        <v>173</v>
      </c>
      <c r="E62" t="s">
        <v>174</v>
      </c>
      <c r="F62" t="s">
        <v>366</v>
      </c>
      <c r="G62" t="s">
        <v>367</v>
      </c>
      <c r="H62">
        <v>5</v>
      </c>
      <c r="I62" t="s">
        <v>70</v>
      </c>
      <c r="J62">
        <v>340</v>
      </c>
      <c r="K62">
        <v>1700</v>
      </c>
      <c r="L62" t="s">
        <v>428</v>
      </c>
    </row>
    <row r="63" spans="1:12" ht="15" customHeight="1" x14ac:dyDescent="0.25">
      <c r="A63" s="35">
        <v>46069</v>
      </c>
      <c r="B63">
        <v>500000062</v>
      </c>
      <c r="C63">
        <v>261</v>
      </c>
      <c r="D63" t="s">
        <v>173</v>
      </c>
      <c r="E63" t="s">
        <v>174</v>
      </c>
      <c r="F63" t="s">
        <v>366</v>
      </c>
      <c r="G63" t="s">
        <v>367</v>
      </c>
      <c r="H63">
        <v>-2</v>
      </c>
      <c r="I63" t="s">
        <v>70</v>
      </c>
      <c r="J63">
        <v>340</v>
      </c>
      <c r="K63">
        <v>-680</v>
      </c>
      <c r="L63" t="s">
        <v>429</v>
      </c>
    </row>
    <row r="64" spans="1:12" ht="15" customHeight="1" x14ac:dyDescent="0.25">
      <c r="A64" s="35">
        <v>46055</v>
      </c>
      <c r="B64">
        <v>500000063</v>
      </c>
      <c r="C64">
        <v>101</v>
      </c>
      <c r="D64" t="s">
        <v>176</v>
      </c>
      <c r="E64" t="s">
        <v>177</v>
      </c>
      <c r="F64" t="s">
        <v>366</v>
      </c>
      <c r="G64" t="s">
        <v>367</v>
      </c>
      <c r="H64">
        <v>5</v>
      </c>
      <c r="I64" t="s">
        <v>70</v>
      </c>
      <c r="J64">
        <v>15800</v>
      </c>
      <c r="K64">
        <v>79000</v>
      </c>
      <c r="L64" t="s">
        <v>430</v>
      </c>
    </row>
    <row r="65" spans="1:12" ht="15" customHeight="1" x14ac:dyDescent="0.25">
      <c r="A65" s="35">
        <v>46070</v>
      </c>
      <c r="B65">
        <v>500000064</v>
      </c>
      <c r="C65">
        <v>261</v>
      </c>
      <c r="D65" t="s">
        <v>176</v>
      </c>
      <c r="E65" t="s">
        <v>177</v>
      </c>
      <c r="F65" t="s">
        <v>366</v>
      </c>
      <c r="G65" t="s">
        <v>367</v>
      </c>
      <c r="H65">
        <v>-2</v>
      </c>
      <c r="I65" t="s">
        <v>70</v>
      </c>
      <c r="J65">
        <v>15800</v>
      </c>
      <c r="K65">
        <v>-31600</v>
      </c>
      <c r="L65" t="s">
        <v>431</v>
      </c>
    </row>
    <row r="66" spans="1:12" ht="15" customHeight="1" x14ac:dyDescent="0.25">
      <c r="A66" s="35">
        <v>46056</v>
      </c>
      <c r="B66">
        <v>500000065</v>
      </c>
      <c r="C66">
        <v>101</v>
      </c>
      <c r="D66" t="s">
        <v>181</v>
      </c>
      <c r="E66" t="s">
        <v>182</v>
      </c>
      <c r="F66" t="s">
        <v>366</v>
      </c>
      <c r="G66" t="s">
        <v>367</v>
      </c>
      <c r="H66">
        <v>5</v>
      </c>
      <c r="I66" t="s">
        <v>70</v>
      </c>
      <c r="J66">
        <v>6900</v>
      </c>
      <c r="K66">
        <v>34500</v>
      </c>
      <c r="L66" t="s">
        <v>432</v>
      </c>
    </row>
    <row r="67" spans="1:12" ht="15" customHeight="1" x14ac:dyDescent="0.25">
      <c r="A67" s="35">
        <v>46071</v>
      </c>
      <c r="B67">
        <v>500000066</v>
      </c>
      <c r="C67">
        <v>261</v>
      </c>
      <c r="D67" t="s">
        <v>181</v>
      </c>
      <c r="E67" t="s">
        <v>182</v>
      </c>
      <c r="F67" t="s">
        <v>366</v>
      </c>
      <c r="G67" t="s">
        <v>367</v>
      </c>
      <c r="H67">
        <v>-2</v>
      </c>
      <c r="I67" t="s">
        <v>70</v>
      </c>
      <c r="J67">
        <v>6900</v>
      </c>
      <c r="K67">
        <v>-13800</v>
      </c>
      <c r="L67" t="s">
        <v>433</v>
      </c>
    </row>
    <row r="68" spans="1:12" ht="15" customHeight="1" x14ac:dyDescent="0.25">
      <c r="A68" s="35">
        <v>46057</v>
      </c>
      <c r="B68">
        <v>500000067</v>
      </c>
      <c r="C68">
        <v>101</v>
      </c>
      <c r="D68" t="s">
        <v>184</v>
      </c>
      <c r="E68" t="s">
        <v>185</v>
      </c>
      <c r="F68" t="s">
        <v>366</v>
      </c>
      <c r="G68" t="s">
        <v>367</v>
      </c>
      <c r="H68">
        <v>5</v>
      </c>
      <c r="I68" t="s">
        <v>134</v>
      </c>
      <c r="J68">
        <v>85</v>
      </c>
      <c r="K68">
        <v>425</v>
      </c>
      <c r="L68" t="s">
        <v>434</v>
      </c>
    </row>
    <row r="69" spans="1:12" ht="15" customHeight="1" x14ac:dyDescent="0.25">
      <c r="A69" s="35">
        <v>46072</v>
      </c>
      <c r="B69">
        <v>500000068</v>
      </c>
      <c r="C69">
        <v>261</v>
      </c>
      <c r="D69" t="s">
        <v>184</v>
      </c>
      <c r="E69" t="s">
        <v>185</v>
      </c>
      <c r="F69" t="s">
        <v>366</v>
      </c>
      <c r="G69" t="s">
        <v>367</v>
      </c>
      <c r="H69">
        <v>-2</v>
      </c>
      <c r="I69" t="s">
        <v>134</v>
      </c>
      <c r="J69">
        <v>85</v>
      </c>
      <c r="K69">
        <v>-170</v>
      </c>
      <c r="L69" t="s">
        <v>435</v>
      </c>
    </row>
    <row r="70" spans="1:12" ht="15" customHeight="1" x14ac:dyDescent="0.25">
      <c r="A70" s="35">
        <v>46058</v>
      </c>
      <c r="B70">
        <v>500000069</v>
      </c>
      <c r="C70">
        <v>101</v>
      </c>
      <c r="D70" t="s">
        <v>187</v>
      </c>
      <c r="E70" t="s">
        <v>188</v>
      </c>
      <c r="F70" t="s">
        <v>366</v>
      </c>
      <c r="G70" t="s">
        <v>367</v>
      </c>
      <c r="H70">
        <v>5</v>
      </c>
      <c r="I70" t="s">
        <v>70</v>
      </c>
      <c r="J70">
        <v>2650</v>
      </c>
      <c r="K70">
        <v>13250</v>
      </c>
      <c r="L70" t="s">
        <v>436</v>
      </c>
    </row>
    <row r="71" spans="1:12" ht="15" customHeight="1" x14ac:dyDescent="0.25">
      <c r="A71" s="35">
        <v>46073</v>
      </c>
      <c r="B71">
        <v>500000070</v>
      </c>
      <c r="C71">
        <v>261</v>
      </c>
      <c r="D71" t="s">
        <v>187</v>
      </c>
      <c r="E71" t="s">
        <v>188</v>
      </c>
      <c r="F71" t="s">
        <v>366</v>
      </c>
      <c r="G71" t="s">
        <v>367</v>
      </c>
      <c r="H71">
        <v>-2</v>
      </c>
      <c r="I71" t="s">
        <v>70</v>
      </c>
      <c r="J71">
        <v>2650</v>
      </c>
      <c r="K71">
        <v>-5300</v>
      </c>
      <c r="L71" t="s">
        <v>437</v>
      </c>
    </row>
    <row r="72" spans="1:12" ht="15" customHeight="1" x14ac:dyDescent="0.25">
      <c r="A72" s="35">
        <v>46059</v>
      </c>
      <c r="B72">
        <v>500000071</v>
      </c>
      <c r="C72">
        <v>101</v>
      </c>
      <c r="D72" t="s">
        <v>190</v>
      </c>
      <c r="E72" t="s">
        <v>191</v>
      </c>
      <c r="F72" t="s">
        <v>366</v>
      </c>
      <c r="G72" t="s">
        <v>367</v>
      </c>
      <c r="H72">
        <v>5</v>
      </c>
      <c r="I72" t="s">
        <v>70</v>
      </c>
      <c r="J72">
        <v>210</v>
      </c>
      <c r="K72">
        <v>1050</v>
      </c>
      <c r="L72" t="s">
        <v>438</v>
      </c>
    </row>
    <row r="73" spans="1:12" ht="15" customHeight="1" x14ac:dyDescent="0.25">
      <c r="A73" s="35">
        <v>46074</v>
      </c>
      <c r="B73">
        <v>500000072</v>
      </c>
      <c r="C73">
        <v>261</v>
      </c>
      <c r="D73" t="s">
        <v>190</v>
      </c>
      <c r="E73" t="s">
        <v>191</v>
      </c>
      <c r="F73" t="s">
        <v>366</v>
      </c>
      <c r="G73" t="s">
        <v>367</v>
      </c>
      <c r="H73">
        <v>-2</v>
      </c>
      <c r="I73" t="s">
        <v>70</v>
      </c>
      <c r="J73">
        <v>210</v>
      </c>
      <c r="K73">
        <v>-420</v>
      </c>
      <c r="L73" t="s">
        <v>439</v>
      </c>
    </row>
    <row r="74" spans="1:12" ht="15" customHeight="1" x14ac:dyDescent="0.25">
      <c r="A74" s="35">
        <v>46060</v>
      </c>
      <c r="B74">
        <v>500000073</v>
      </c>
      <c r="C74">
        <v>101</v>
      </c>
      <c r="D74" t="s">
        <v>194</v>
      </c>
      <c r="E74" t="s">
        <v>195</v>
      </c>
      <c r="F74" t="s">
        <v>366</v>
      </c>
      <c r="G74" t="s">
        <v>367</v>
      </c>
      <c r="H74">
        <v>5</v>
      </c>
      <c r="I74" t="s">
        <v>70</v>
      </c>
      <c r="J74">
        <v>95</v>
      </c>
      <c r="K74">
        <v>475</v>
      </c>
      <c r="L74" t="s">
        <v>440</v>
      </c>
    </row>
    <row r="75" spans="1:12" ht="15" customHeight="1" x14ac:dyDescent="0.25">
      <c r="A75" s="35">
        <v>46075</v>
      </c>
      <c r="B75">
        <v>500000074</v>
      </c>
      <c r="C75">
        <v>261</v>
      </c>
      <c r="D75" t="s">
        <v>194</v>
      </c>
      <c r="E75" t="s">
        <v>195</v>
      </c>
      <c r="F75" t="s">
        <v>366</v>
      </c>
      <c r="G75" t="s">
        <v>367</v>
      </c>
      <c r="H75">
        <v>-2</v>
      </c>
      <c r="I75" t="s">
        <v>70</v>
      </c>
      <c r="J75">
        <v>95</v>
      </c>
      <c r="K75">
        <v>-190</v>
      </c>
      <c r="L75" t="s">
        <v>441</v>
      </c>
    </row>
    <row r="76" spans="1:12" ht="15" customHeight="1" x14ac:dyDescent="0.25">
      <c r="A76" s="35">
        <v>46061</v>
      </c>
      <c r="B76">
        <v>500000075</v>
      </c>
      <c r="C76">
        <v>101</v>
      </c>
      <c r="D76" t="s">
        <v>197</v>
      </c>
      <c r="E76" t="s">
        <v>198</v>
      </c>
      <c r="F76" t="s">
        <v>366</v>
      </c>
      <c r="G76" t="s">
        <v>367</v>
      </c>
      <c r="H76">
        <v>5</v>
      </c>
      <c r="I76" t="s">
        <v>70</v>
      </c>
      <c r="J76">
        <v>130</v>
      </c>
      <c r="K76">
        <v>650</v>
      </c>
      <c r="L76" t="s">
        <v>442</v>
      </c>
    </row>
    <row r="77" spans="1:12" ht="15" customHeight="1" x14ac:dyDescent="0.25">
      <c r="A77" s="35">
        <v>46076</v>
      </c>
      <c r="B77">
        <v>500000076</v>
      </c>
      <c r="C77">
        <v>261</v>
      </c>
      <c r="D77" t="s">
        <v>197</v>
      </c>
      <c r="E77" t="s">
        <v>198</v>
      </c>
      <c r="F77" t="s">
        <v>366</v>
      </c>
      <c r="G77" t="s">
        <v>367</v>
      </c>
      <c r="H77">
        <v>-2</v>
      </c>
      <c r="I77" t="s">
        <v>70</v>
      </c>
      <c r="J77">
        <v>130</v>
      </c>
      <c r="K77">
        <v>-260</v>
      </c>
      <c r="L77" t="s">
        <v>443</v>
      </c>
    </row>
    <row r="78" spans="1:12" ht="15" customHeight="1" x14ac:dyDescent="0.25">
      <c r="A78" s="35">
        <v>46062</v>
      </c>
      <c r="B78">
        <v>500000077</v>
      </c>
      <c r="C78">
        <v>101</v>
      </c>
      <c r="D78" t="s">
        <v>200</v>
      </c>
      <c r="E78" t="s">
        <v>201</v>
      </c>
      <c r="F78" t="s">
        <v>366</v>
      </c>
      <c r="G78" t="s">
        <v>367</v>
      </c>
      <c r="H78">
        <v>5</v>
      </c>
      <c r="I78" t="s">
        <v>203</v>
      </c>
      <c r="J78">
        <v>28</v>
      </c>
      <c r="K78">
        <v>140</v>
      </c>
      <c r="L78" t="s">
        <v>444</v>
      </c>
    </row>
    <row r="79" spans="1:12" ht="15" customHeight="1" x14ac:dyDescent="0.25">
      <c r="A79" s="35">
        <v>46077</v>
      </c>
      <c r="B79">
        <v>500000078</v>
      </c>
      <c r="C79">
        <v>261</v>
      </c>
      <c r="D79" t="s">
        <v>200</v>
      </c>
      <c r="E79" t="s">
        <v>201</v>
      </c>
      <c r="F79" t="s">
        <v>366</v>
      </c>
      <c r="G79" t="s">
        <v>367</v>
      </c>
      <c r="H79">
        <v>-2</v>
      </c>
      <c r="I79" t="s">
        <v>203</v>
      </c>
      <c r="J79">
        <v>28</v>
      </c>
      <c r="K79">
        <v>-56</v>
      </c>
      <c r="L79" t="s">
        <v>445</v>
      </c>
    </row>
    <row r="80" spans="1:12" ht="15" customHeight="1" x14ac:dyDescent="0.25">
      <c r="A80" s="35">
        <v>46063</v>
      </c>
      <c r="B80">
        <v>500000079</v>
      </c>
      <c r="C80">
        <v>101</v>
      </c>
      <c r="D80" t="s">
        <v>206</v>
      </c>
      <c r="E80" t="s">
        <v>207</v>
      </c>
      <c r="F80" t="s">
        <v>366</v>
      </c>
      <c r="G80" t="s">
        <v>367</v>
      </c>
      <c r="H80">
        <v>5</v>
      </c>
      <c r="I80" t="s">
        <v>208</v>
      </c>
      <c r="J80">
        <v>32</v>
      </c>
      <c r="K80">
        <v>160</v>
      </c>
      <c r="L80" t="s">
        <v>446</v>
      </c>
    </row>
    <row r="81" spans="1:12" ht="15" customHeight="1" x14ac:dyDescent="0.25">
      <c r="A81" s="35">
        <v>46078</v>
      </c>
      <c r="B81">
        <v>500000080</v>
      </c>
      <c r="C81">
        <v>261</v>
      </c>
      <c r="D81" t="s">
        <v>206</v>
      </c>
      <c r="E81" t="s">
        <v>207</v>
      </c>
      <c r="F81" t="s">
        <v>366</v>
      </c>
      <c r="G81" t="s">
        <v>367</v>
      </c>
      <c r="H81">
        <v>-2</v>
      </c>
      <c r="I81" t="s">
        <v>208</v>
      </c>
      <c r="J81">
        <v>32</v>
      </c>
      <c r="K81">
        <v>-64</v>
      </c>
      <c r="L81" t="s">
        <v>447</v>
      </c>
    </row>
    <row r="82" spans="1:12" ht="15" customHeight="1" x14ac:dyDescent="0.25">
      <c r="A82" s="35">
        <v>46064</v>
      </c>
      <c r="B82">
        <v>500000081</v>
      </c>
      <c r="C82">
        <v>101</v>
      </c>
      <c r="D82" t="s">
        <v>210</v>
      </c>
      <c r="E82" t="s">
        <v>211</v>
      </c>
      <c r="F82" t="s">
        <v>366</v>
      </c>
      <c r="G82" t="s">
        <v>367</v>
      </c>
      <c r="H82">
        <v>5</v>
      </c>
      <c r="I82" t="s">
        <v>70</v>
      </c>
      <c r="J82">
        <v>18</v>
      </c>
      <c r="K82">
        <v>90</v>
      </c>
      <c r="L82" t="s">
        <v>448</v>
      </c>
    </row>
    <row r="83" spans="1:12" ht="15" customHeight="1" x14ac:dyDescent="0.25">
      <c r="A83" s="35">
        <v>46079</v>
      </c>
      <c r="B83">
        <v>500000082</v>
      </c>
      <c r="C83">
        <v>261</v>
      </c>
      <c r="D83" t="s">
        <v>210</v>
      </c>
      <c r="E83" t="s">
        <v>211</v>
      </c>
      <c r="F83" t="s">
        <v>366</v>
      </c>
      <c r="G83" t="s">
        <v>367</v>
      </c>
      <c r="H83">
        <v>-2</v>
      </c>
      <c r="I83" t="s">
        <v>70</v>
      </c>
      <c r="J83">
        <v>18</v>
      </c>
      <c r="K83">
        <v>-36</v>
      </c>
      <c r="L83" t="s">
        <v>449</v>
      </c>
    </row>
    <row r="84" spans="1:12" ht="15" customHeight="1" x14ac:dyDescent="0.25">
      <c r="A84" s="35">
        <v>46065</v>
      </c>
      <c r="B84">
        <v>500000083</v>
      </c>
      <c r="C84">
        <v>101</v>
      </c>
      <c r="D84" t="s">
        <v>214</v>
      </c>
      <c r="E84" t="s">
        <v>215</v>
      </c>
      <c r="F84" t="s">
        <v>366</v>
      </c>
      <c r="G84" t="s">
        <v>367</v>
      </c>
      <c r="H84">
        <v>5</v>
      </c>
      <c r="I84" t="s">
        <v>70</v>
      </c>
      <c r="J84">
        <v>6.5</v>
      </c>
      <c r="K84">
        <v>32.5</v>
      </c>
      <c r="L84" t="s">
        <v>450</v>
      </c>
    </row>
    <row r="85" spans="1:12" ht="15" customHeight="1" x14ac:dyDescent="0.25">
      <c r="A85" s="35">
        <v>46080</v>
      </c>
      <c r="B85">
        <v>500000084</v>
      </c>
      <c r="C85">
        <v>261</v>
      </c>
      <c r="D85" t="s">
        <v>214</v>
      </c>
      <c r="E85" t="s">
        <v>215</v>
      </c>
      <c r="F85" t="s">
        <v>366</v>
      </c>
      <c r="G85" t="s">
        <v>367</v>
      </c>
      <c r="H85">
        <v>-2</v>
      </c>
      <c r="I85" t="s">
        <v>70</v>
      </c>
      <c r="J85">
        <v>6.5</v>
      </c>
      <c r="K85">
        <v>-13</v>
      </c>
      <c r="L85" t="s">
        <v>451</v>
      </c>
    </row>
    <row r="86" spans="1:12" ht="15" customHeight="1" x14ac:dyDescent="0.25">
      <c r="A86" s="35">
        <v>46066</v>
      </c>
      <c r="B86">
        <v>500000085</v>
      </c>
      <c r="C86">
        <v>101</v>
      </c>
      <c r="D86" t="s">
        <v>217</v>
      </c>
      <c r="E86" t="s">
        <v>218</v>
      </c>
      <c r="F86" t="s">
        <v>366</v>
      </c>
      <c r="G86" t="s">
        <v>367</v>
      </c>
      <c r="H86">
        <v>5</v>
      </c>
      <c r="I86" t="s">
        <v>70</v>
      </c>
      <c r="J86">
        <v>2.2000000000000002</v>
      </c>
      <c r="K86">
        <v>11</v>
      </c>
      <c r="L86" t="s">
        <v>452</v>
      </c>
    </row>
    <row r="87" spans="1:12" ht="15" customHeight="1" x14ac:dyDescent="0.25">
      <c r="A87" s="35">
        <v>46081</v>
      </c>
      <c r="B87">
        <v>500000086</v>
      </c>
      <c r="C87">
        <v>261</v>
      </c>
      <c r="D87" t="s">
        <v>217</v>
      </c>
      <c r="E87" t="s">
        <v>218</v>
      </c>
      <c r="F87" t="s">
        <v>366</v>
      </c>
      <c r="G87" t="s">
        <v>367</v>
      </c>
      <c r="H87">
        <v>-2</v>
      </c>
      <c r="I87" t="s">
        <v>70</v>
      </c>
      <c r="J87">
        <v>2.2000000000000002</v>
      </c>
      <c r="K87">
        <v>-4.4000000000000004</v>
      </c>
      <c r="L87" t="s">
        <v>453</v>
      </c>
    </row>
    <row r="88" spans="1:12" ht="15" customHeight="1" x14ac:dyDescent="0.25">
      <c r="A88" s="35">
        <v>46067</v>
      </c>
      <c r="B88">
        <v>500000087</v>
      </c>
      <c r="C88">
        <v>101</v>
      </c>
      <c r="D88" t="s">
        <v>220</v>
      </c>
      <c r="E88" t="s">
        <v>221</v>
      </c>
      <c r="F88" t="s">
        <v>366</v>
      </c>
      <c r="G88" t="s">
        <v>367</v>
      </c>
      <c r="H88">
        <v>5</v>
      </c>
      <c r="I88" t="s">
        <v>70</v>
      </c>
      <c r="J88">
        <v>45</v>
      </c>
      <c r="K88">
        <v>225</v>
      </c>
      <c r="L88" t="s">
        <v>454</v>
      </c>
    </row>
    <row r="89" spans="1:12" ht="15" customHeight="1" x14ac:dyDescent="0.25">
      <c r="A89" s="35">
        <v>46082</v>
      </c>
      <c r="B89">
        <v>500000088</v>
      </c>
      <c r="C89">
        <v>261</v>
      </c>
      <c r="D89" t="s">
        <v>220</v>
      </c>
      <c r="E89" t="s">
        <v>221</v>
      </c>
      <c r="F89" t="s">
        <v>366</v>
      </c>
      <c r="G89" t="s">
        <v>367</v>
      </c>
      <c r="H89">
        <v>-2</v>
      </c>
      <c r="I89" t="s">
        <v>70</v>
      </c>
      <c r="J89">
        <v>45</v>
      </c>
      <c r="K89">
        <v>-90</v>
      </c>
      <c r="L89" t="s">
        <v>455</v>
      </c>
    </row>
    <row r="90" spans="1:12" ht="15" customHeight="1" x14ac:dyDescent="0.25">
      <c r="A90" s="35">
        <v>46068</v>
      </c>
      <c r="B90">
        <v>500000089</v>
      </c>
      <c r="C90">
        <v>101</v>
      </c>
      <c r="D90" t="s">
        <v>223</v>
      </c>
      <c r="E90" t="s">
        <v>224</v>
      </c>
      <c r="F90" t="s">
        <v>366</v>
      </c>
      <c r="G90" t="s">
        <v>367</v>
      </c>
      <c r="H90">
        <v>5</v>
      </c>
      <c r="I90" t="s">
        <v>70</v>
      </c>
      <c r="J90">
        <v>8.9</v>
      </c>
      <c r="K90">
        <v>44.5</v>
      </c>
      <c r="L90" t="s">
        <v>456</v>
      </c>
    </row>
    <row r="91" spans="1:12" ht="15" customHeight="1" x14ac:dyDescent="0.25">
      <c r="A91" s="35">
        <v>46083</v>
      </c>
      <c r="B91">
        <v>500000090</v>
      </c>
      <c r="C91">
        <v>261</v>
      </c>
      <c r="D91" t="s">
        <v>223</v>
      </c>
      <c r="E91" t="s">
        <v>224</v>
      </c>
      <c r="F91" t="s">
        <v>366</v>
      </c>
      <c r="G91" t="s">
        <v>367</v>
      </c>
      <c r="H91">
        <v>-2</v>
      </c>
      <c r="I91" t="s">
        <v>70</v>
      </c>
      <c r="J91">
        <v>8.9</v>
      </c>
      <c r="K91">
        <v>-17.8</v>
      </c>
      <c r="L91" t="s">
        <v>457</v>
      </c>
    </row>
    <row r="92" spans="1:12" ht="15" customHeight="1" x14ac:dyDescent="0.25"/>
    <row r="93" spans="1:12" ht="15" customHeight="1" x14ac:dyDescent="0.25"/>
    <row r="94" spans="1:12" ht="15" customHeight="1" x14ac:dyDescent="0.25"/>
    <row r="95" spans="1:12" ht="15" customHeight="1" x14ac:dyDescent="0.25"/>
    <row r="96" spans="1:12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</sheetData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2"/>
  <sheetViews>
    <sheetView zoomScaleNormal="100" workbookViewId="0">
      <pane ySplit="1" topLeftCell="A14" activePane="bottomLeft" state="frozen"/>
      <selection pane="bottomLeft" activeCell="E25" sqref="E25"/>
    </sheetView>
  </sheetViews>
  <sheetFormatPr defaultColWidth="8.7109375" defaultRowHeight="15" x14ac:dyDescent="0.25"/>
  <cols>
    <col min="1" max="1" width="17.28515625" customWidth="1"/>
    <col min="2" max="2" width="30" customWidth="1"/>
    <col min="3" max="3" width="13.140625" customWidth="1"/>
    <col min="4" max="5" width="13.5703125" customWidth="1"/>
    <col min="6" max="6" width="21.85546875" bestFit="1" customWidth="1"/>
    <col min="7" max="7" width="16.7109375" customWidth="1"/>
  </cols>
  <sheetData>
    <row r="1" spans="1:7" ht="15" customHeight="1" x14ac:dyDescent="0.25">
      <c r="A1" s="33" t="s">
        <v>252</v>
      </c>
      <c r="B1" s="33" t="s">
        <v>44</v>
      </c>
      <c r="C1" s="33" t="s">
        <v>254</v>
      </c>
      <c r="D1" s="33" t="s">
        <v>251</v>
      </c>
      <c r="E1" s="33" t="s">
        <v>253</v>
      </c>
      <c r="F1" s="33" t="s">
        <v>255</v>
      </c>
      <c r="G1" s="33" t="s">
        <v>256</v>
      </c>
    </row>
    <row r="2" spans="1:7" ht="15" customHeight="1" x14ac:dyDescent="0.25">
      <c r="A2" t="s">
        <v>67</v>
      </c>
      <c r="B2" t="str">
        <f>IFERROR(INDEX(Materiais!$B:$B,MATCH(A2,Materiais!$A:$A,0)),"")</f>
        <v>Mandibula Fixa do Britador</v>
      </c>
      <c r="C2" t="s">
        <v>257</v>
      </c>
      <c r="D2" s="22">
        <v>46199</v>
      </c>
      <c r="E2">
        <v>8</v>
      </c>
      <c r="F2" t="s">
        <v>258</v>
      </c>
      <c r="G2" t="str">
        <f ca="1">IF(F2="Convertida","-",TODAY()-D2)</f>
        <v>-</v>
      </c>
    </row>
    <row r="3" spans="1:7" ht="15" customHeight="1" x14ac:dyDescent="0.25">
      <c r="A3" t="s">
        <v>74</v>
      </c>
      <c r="B3" t="str">
        <f>IFERROR(INDEX(Materiais!$B:$B,MATCH(A3,Materiais!$A:$A,0)),"")</f>
        <v>Mandibula Movel do Britador</v>
      </c>
      <c r="C3" t="s">
        <v>259</v>
      </c>
      <c r="D3" s="22">
        <v>46207</v>
      </c>
      <c r="E3">
        <v>4</v>
      </c>
      <c r="F3" t="s">
        <v>258</v>
      </c>
      <c r="G3" t="str">
        <f ca="1">IF(F3="Convertida","-",TODAY()-D3)</f>
        <v>-</v>
      </c>
    </row>
    <row r="4" spans="1:7" ht="15" customHeight="1" x14ac:dyDescent="0.25">
      <c r="A4" t="s">
        <v>77</v>
      </c>
      <c r="B4" t="str">
        <f>IFERROR(INDEX(Materiais!$B:$B,MATCH(A4,Materiais!$A:$A,0)),"")</f>
        <v>Revestimento Concavo</v>
      </c>
      <c r="C4" t="s">
        <v>260</v>
      </c>
      <c r="D4" s="22">
        <v>46244</v>
      </c>
      <c r="E4">
        <v>3</v>
      </c>
      <c r="F4" t="s">
        <v>261</v>
      </c>
      <c r="G4">
        <f ca="1">IF(F4="Convertida","-",TODAY()-D4)</f>
        <v>13</v>
      </c>
    </row>
    <row r="5" spans="1:7" ht="15" customHeight="1" x14ac:dyDescent="0.25">
      <c r="A5" t="s">
        <v>81</v>
      </c>
      <c r="B5" t="str">
        <f>IFERROR(INDEX(Materiais!$B:$B,MATCH(A5,Materiais!$A:$A,0)),"")</f>
        <v>Revestimento Manto</v>
      </c>
      <c r="C5" t="s">
        <v>262</v>
      </c>
      <c r="D5" s="22">
        <v>46199</v>
      </c>
      <c r="E5">
        <v>2</v>
      </c>
      <c r="F5" t="s">
        <v>263</v>
      </c>
      <c r="G5">
        <f ca="1">IF(F5="Convertida","-",TODAY()-D5)</f>
        <v>58</v>
      </c>
    </row>
    <row r="6" spans="1:7" ht="15" customHeight="1" x14ac:dyDescent="0.25">
      <c r="A6" t="s">
        <v>84</v>
      </c>
      <c r="B6" t="str">
        <f>IFERROR(INDEX(Materiais!$B:$B,MATCH(A6,Materiais!$A:$A,0)),"")</f>
        <v>Chapa Blindada Lateral</v>
      </c>
      <c r="C6" t="s">
        <v>264</v>
      </c>
      <c r="D6" s="22">
        <v>46218</v>
      </c>
      <c r="E6">
        <v>8</v>
      </c>
      <c r="F6" t="s">
        <v>258</v>
      </c>
      <c r="G6" t="str">
        <f ca="1">IF(F6="Convertida","-",TODAY()-D6)</f>
        <v>-</v>
      </c>
    </row>
    <row r="7" spans="1:7" ht="15" customHeight="1" x14ac:dyDescent="0.25">
      <c r="A7" t="s">
        <v>89</v>
      </c>
      <c r="B7" t="str">
        <f>IFERROR(INDEX(Materiais!$B:$B,MATCH(A7,Materiais!$A:$A,0)),"")</f>
        <v>Chapa de Desgaste</v>
      </c>
      <c r="C7" t="s">
        <v>265</v>
      </c>
      <c r="D7" s="22">
        <v>46221</v>
      </c>
      <c r="E7">
        <v>2</v>
      </c>
      <c r="F7" t="s">
        <v>266</v>
      </c>
      <c r="G7">
        <f ca="1">IF(F7="Convertida","-",TODAY()-D7)</f>
        <v>36</v>
      </c>
    </row>
    <row r="8" spans="1:7" ht="15" customHeight="1" x14ac:dyDescent="0.25">
      <c r="A8" t="s">
        <v>92</v>
      </c>
      <c r="B8" t="str">
        <f>IFERROR(INDEX(Materiais!$B:$B,MATCH(A8,Materiais!$A:$A,0)),"")</f>
        <v>Placa de Impacto</v>
      </c>
      <c r="C8" t="s">
        <v>267</v>
      </c>
      <c r="D8" s="22">
        <v>46146</v>
      </c>
      <c r="E8">
        <v>4</v>
      </c>
      <c r="F8" t="s">
        <v>266</v>
      </c>
      <c r="G8">
        <f ca="1">IF(F8="Convertida","-",TODAY()-D8)</f>
        <v>111</v>
      </c>
    </row>
    <row r="9" spans="1:7" ht="15" customHeight="1" x14ac:dyDescent="0.25">
      <c r="A9" t="s">
        <v>95</v>
      </c>
      <c r="B9" t="str">
        <f>IFERROR(INDEX(Materiais!$B:$B,MATCH(A9,Materiais!$A:$A,0)),"")</f>
        <v>Eixo Excentrico</v>
      </c>
      <c r="C9" t="s">
        <v>268</v>
      </c>
      <c r="D9" s="22">
        <v>46241</v>
      </c>
      <c r="E9">
        <v>8</v>
      </c>
      <c r="F9" t="s">
        <v>261</v>
      </c>
      <c r="G9">
        <f ca="1">IF(F9="Convertida","-",TODAY()-D9)</f>
        <v>16</v>
      </c>
    </row>
    <row r="10" spans="1:7" ht="15" customHeight="1" x14ac:dyDescent="0.25">
      <c r="A10" t="s">
        <v>98</v>
      </c>
      <c r="B10" t="str">
        <f>IFERROR(INDEX(Materiais!$B:$B,MATCH(A10,Materiais!$A:$A,0)),"")</f>
        <v>Bucha de Bronze</v>
      </c>
      <c r="C10" t="s">
        <v>269</v>
      </c>
      <c r="D10" s="22">
        <v>46208</v>
      </c>
      <c r="E10">
        <v>5</v>
      </c>
      <c r="F10" t="s">
        <v>266</v>
      </c>
      <c r="G10">
        <f ca="1">IF(F10="Convertida","-",TODAY()-D10)</f>
        <v>49</v>
      </c>
    </row>
    <row r="11" spans="1:7" ht="15" customHeight="1" x14ac:dyDescent="0.25">
      <c r="A11" t="s">
        <v>102</v>
      </c>
      <c r="B11" t="str">
        <f>IFERROR(INDEX(Materiais!$B:$B,MATCH(A11,Materiais!$A:$A,0)),"")</f>
        <v>Bucha Excentrica</v>
      </c>
      <c r="C11" t="s">
        <v>270</v>
      </c>
      <c r="D11" s="22">
        <v>46142</v>
      </c>
      <c r="E11">
        <v>8</v>
      </c>
      <c r="F11" t="s">
        <v>258</v>
      </c>
      <c r="G11" t="str">
        <f ca="1">IF(F11="Convertida","-",TODAY()-D11)</f>
        <v>-</v>
      </c>
    </row>
    <row r="12" spans="1:7" ht="15" customHeight="1" x14ac:dyDescent="0.25">
      <c r="A12" t="s">
        <v>105</v>
      </c>
      <c r="B12" t="str">
        <f>IFERROR(INDEX(Materiais!$B:$B,MATCH(A12,Materiais!$A:$A,0)),"")</f>
        <v>Volante de Inercia</v>
      </c>
      <c r="C12" t="s">
        <v>271</v>
      </c>
      <c r="D12" s="22">
        <v>46194</v>
      </c>
      <c r="E12">
        <v>2</v>
      </c>
      <c r="F12" t="s">
        <v>258</v>
      </c>
      <c r="G12" t="str">
        <f ca="1">IF(F12="Convertida","-",TODAY()-D12)</f>
        <v>-</v>
      </c>
    </row>
    <row r="13" spans="1:7" ht="15" customHeight="1" x14ac:dyDescent="0.25">
      <c r="A13" t="s">
        <v>108</v>
      </c>
      <c r="B13" t="str">
        <f>IFERROR(INDEX(Materiais!$B:$B,MATCH(A13,Materiais!$A:$A,0)),"")</f>
        <v>Grelha Vibratoria</v>
      </c>
      <c r="C13" t="s">
        <v>272</v>
      </c>
      <c r="D13" s="22">
        <v>46182</v>
      </c>
      <c r="E13">
        <v>5</v>
      </c>
      <c r="F13" t="s">
        <v>258</v>
      </c>
      <c r="G13" t="str">
        <f ca="1">IF(F13="Convertida","-",TODAY()-D13)</f>
        <v>-</v>
      </c>
    </row>
    <row r="14" spans="1:7" ht="15" customHeight="1" x14ac:dyDescent="0.25">
      <c r="A14" t="s">
        <v>111</v>
      </c>
      <c r="B14" t="str">
        <f>IFERROR(INDEX(Materiais!$B:$B,MATCH(A14,Materiais!$A:$A,0)),"")</f>
        <v>Rolamento 6205</v>
      </c>
      <c r="C14" t="s">
        <v>273</v>
      </c>
      <c r="D14" s="22">
        <v>46150</v>
      </c>
      <c r="E14">
        <v>2</v>
      </c>
      <c r="F14" t="s">
        <v>261</v>
      </c>
      <c r="G14">
        <f ca="1">IF(F14="Convertida","-",TODAY()-D14)</f>
        <v>107</v>
      </c>
    </row>
    <row r="15" spans="1:7" ht="15" customHeight="1" x14ac:dyDescent="0.25">
      <c r="A15" t="s">
        <v>115</v>
      </c>
      <c r="B15" t="str">
        <f>IFERROR(INDEX(Materiais!$B:$B,MATCH(A15,Materiais!$A:$A,0)),"")</f>
        <v>Rolamento 6308</v>
      </c>
      <c r="C15" t="s">
        <v>274</v>
      </c>
      <c r="D15" s="22">
        <v>46155</v>
      </c>
      <c r="E15">
        <v>7</v>
      </c>
      <c r="F15" t="s">
        <v>258</v>
      </c>
      <c r="G15" t="str">
        <f ca="1">IF(F15="Convertida","-",TODAY()-D15)</f>
        <v>-</v>
      </c>
    </row>
    <row r="16" spans="1:7" ht="15" customHeight="1" x14ac:dyDescent="0.25">
      <c r="A16" t="s">
        <v>118</v>
      </c>
      <c r="B16" t="str">
        <f>IFERROR(INDEX(Materiais!$B:$B,MATCH(A16,Materiais!$A:$A,0)),"")</f>
        <v>Rolamento de Rolos Conicos 32218</v>
      </c>
      <c r="C16" t="s">
        <v>275</v>
      </c>
      <c r="D16" s="22">
        <v>46144</v>
      </c>
      <c r="E16">
        <v>1</v>
      </c>
      <c r="F16" t="s">
        <v>258</v>
      </c>
      <c r="G16" t="str">
        <f ca="1">IF(F16="Convertida","-",TODAY()-D16)</f>
        <v>-</v>
      </c>
    </row>
    <row r="17" spans="1:7" ht="15" customHeight="1" x14ac:dyDescent="0.25">
      <c r="A17" t="s">
        <v>122</v>
      </c>
      <c r="B17" t="str">
        <f>IFERROR(INDEX(Materiais!$B:$B,MATCH(A17,Materiais!$A:$A,0)),"")</f>
        <v>Rolamento Esferico 22318</v>
      </c>
      <c r="C17" t="s">
        <v>276</v>
      </c>
      <c r="D17" s="22">
        <v>46168</v>
      </c>
      <c r="E17">
        <v>1</v>
      </c>
      <c r="F17" t="s">
        <v>258</v>
      </c>
      <c r="G17" t="str">
        <f ca="1">IF(F17="Convertida","-",TODAY()-D17)</f>
        <v>-</v>
      </c>
    </row>
    <row r="18" spans="1:7" ht="15" customHeight="1" x14ac:dyDescent="0.25">
      <c r="A18" t="s">
        <v>125</v>
      </c>
      <c r="B18" t="str">
        <f>IFERROR(INDEX(Materiais!$B:$B,MATCH(A18,Materiais!$A:$A,0)),"")</f>
        <v>Rolamento Autocompensador 22222</v>
      </c>
      <c r="C18" t="s">
        <v>277</v>
      </c>
      <c r="D18" s="22">
        <v>46190</v>
      </c>
      <c r="E18">
        <v>7</v>
      </c>
      <c r="F18" t="s">
        <v>258</v>
      </c>
      <c r="G18" t="str">
        <f ca="1">IF(F18="Convertida","-",TODAY()-D18)</f>
        <v>-</v>
      </c>
    </row>
    <row r="19" spans="1:7" ht="15" customHeight="1" x14ac:dyDescent="0.25">
      <c r="A19" t="s">
        <v>128</v>
      </c>
      <c r="B19" t="str">
        <f>IFERROR(INDEX(Materiais!$B:$B,MATCH(A19,Materiais!$A:$A,0)),"")</f>
        <v>Retentor de Vedacao</v>
      </c>
      <c r="C19" t="s">
        <v>278</v>
      </c>
      <c r="D19" s="22">
        <v>46151</v>
      </c>
      <c r="E19">
        <v>4</v>
      </c>
      <c r="F19" t="s">
        <v>261</v>
      </c>
      <c r="G19">
        <f ca="1">IF(F19="Convertida","-",TODAY()-D19)</f>
        <v>106</v>
      </c>
    </row>
    <row r="20" spans="1:7" ht="15" customHeight="1" x14ac:dyDescent="0.25">
      <c r="A20" t="s">
        <v>131</v>
      </c>
      <c r="B20" t="str">
        <f>IFERROR(INDEX(Materiais!$B:$B,MATCH(A20,Materiais!$A:$A,0)),"")</f>
        <v>Correia Transportadora B-1200</v>
      </c>
      <c r="C20" t="s">
        <v>279</v>
      </c>
      <c r="D20" s="22">
        <v>46185</v>
      </c>
      <c r="E20">
        <v>6</v>
      </c>
      <c r="F20" t="s">
        <v>266</v>
      </c>
      <c r="G20">
        <f ca="1">IF(F20="Convertida","-",TODAY()-D20)</f>
        <v>72</v>
      </c>
    </row>
    <row r="21" spans="1:7" ht="15" customHeight="1" x14ac:dyDescent="0.25">
      <c r="A21" t="s">
        <v>137</v>
      </c>
      <c r="B21" t="str">
        <f>IFERROR(INDEX(Materiais!$B:$B,MATCH(A21,Materiais!$A:$A,0)),"")</f>
        <v>Correia em V A-75</v>
      </c>
      <c r="C21" t="s">
        <v>280</v>
      </c>
      <c r="D21" s="22">
        <v>46194</v>
      </c>
      <c r="E21">
        <v>2</v>
      </c>
      <c r="F21" t="s">
        <v>258</v>
      </c>
      <c r="G21" t="str">
        <f ca="1">IF(F21="Convertida","-",TODAY()-D21)</f>
        <v>-</v>
      </c>
    </row>
    <row r="22" spans="1:7" ht="15" customHeight="1" x14ac:dyDescent="0.25">
      <c r="A22" t="s">
        <v>140</v>
      </c>
      <c r="B22" t="str">
        <f>IFERROR(INDEX(Materiais!$B:$B,MATCH(A22,Materiais!$A:$A,0)),"")</f>
        <v>Polia Motora</v>
      </c>
      <c r="C22" t="s">
        <v>281</v>
      </c>
      <c r="D22" s="22">
        <v>46173</v>
      </c>
      <c r="E22">
        <v>1</v>
      </c>
      <c r="F22" t="s">
        <v>258</v>
      </c>
      <c r="G22" t="str">
        <f ca="1">IF(F22="Convertida","-",TODAY()-D22)</f>
        <v>-</v>
      </c>
    </row>
    <row r="23" spans="1:7" ht="15" customHeight="1" x14ac:dyDescent="0.25">
      <c r="A23" t="s">
        <v>144</v>
      </c>
      <c r="B23" t="str">
        <f>IFERROR(INDEX(Materiais!$B:$B,MATCH(A23,Materiais!$A:$A,0)),"")</f>
        <v>Polia Movida</v>
      </c>
      <c r="C23" t="s">
        <v>282</v>
      </c>
      <c r="D23" s="22">
        <v>46201</v>
      </c>
      <c r="E23">
        <v>3</v>
      </c>
      <c r="F23" t="s">
        <v>258</v>
      </c>
      <c r="G23" t="str">
        <f ca="1">IF(F23="Convertida","-",TODAY()-D23)</f>
        <v>-</v>
      </c>
    </row>
    <row r="24" spans="1:7" ht="15" customHeight="1" x14ac:dyDescent="0.25">
      <c r="A24" t="s">
        <v>147</v>
      </c>
      <c r="B24" t="str">
        <f>IFERROR(INDEX(Materiais!$B:$B,MATCH(A24,Materiais!$A:$A,0)),"")</f>
        <v>Mola de Compressao</v>
      </c>
      <c r="C24" t="s">
        <v>283</v>
      </c>
      <c r="D24" s="22">
        <v>46199</v>
      </c>
      <c r="E24">
        <v>3</v>
      </c>
      <c r="F24" t="s">
        <v>261</v>
      </c>
      <c r="G24">
        <f ca="1">IF(F24="Convertida","-",TODAY()-D24)</f>
        <v>58</v>
      </c>
    </row>
    <row r="25" spans="1:7" ht="15" customHeight="1" x14ac:dyDescent="0.25">
      <c r="A25" t="s">
        <v>151</v>
      </c>
      <c r="B25" t="str">
        <f>IFERROR(INDEX(Materiais!$B:$B,MATCH(A25,Materiais!$A:$A,0)),"")</f>
        <v>Amortecedor de Impacto</v>
      </c>
      <c r="C25" t="s">
        <v>284</v>
      </c>
      <c r="D25" s="22">
        <v>46224</v>
      </c>
      <c r="E25">
        <v>7</v>
      </c>
      <c r="F25" t="s">
        <v>263</v>
      </c>
      <c r="G25">
        <f ca="1">IF(F25="Convertida","-",TODAY()-D25)</f>
        <v>33</v>
      </c>
    </row>
    <row r="26" spans="1:7" ht="15" customHeight="1" x14ac:dyDescent="0.25">
      <c r="A26" t="s">
        <v>154</v>
      </c>
      <c r="B26" t="str">
        <f>IFERROR(INDEX(Materiais!$B:$B,MATCH(A26,Materiais!$A:$A,0)),"")</f>
        <v>Motor Eletrico 150cv</v>
      </c>
      <c r="C26" t="s">
        <v>285</v>
      </c>
      <c r="D26" s="22">
        <v>46169</v>
      </c>
      <c r="E26">
        <v>5</v>
      </c>
      <c r="F26" t="s">
        <v>266</v>
      </c>
      <c r="G26">
        <f ca="1">IF(F26="Convertida","-",TODAY()-D26)</f>
        <v>88</v>
      </c>
    </row>
    <row r="27" spans="1:7" ht="15" customHeight="1" x14ac:dyDescent="0.25">
      <c r="A27" t="s">
        <v>158</v>
      </c>
      <c r="B27" t="str">
        <f>IFERROR(INDEX(Materiais!$B:$B,MATCH(A27,Materiais!$A:$A,0)),"")</f>
        <v>Motor Eletrico 75cv</v>
      </c>
      <c r="C27" t="s">
        <v>286</v>
      </c>
      <c r="D27" s="22">
        <v>46168</v>
      </c>
      <c r="E27">
        <v>2</v>
      </c>
      <c r="F27" t="s">
        <v>266</v>
      </c>
      <c r="G27">
        <f ca="1">IF(F27="Convertida","-",TODAY()-D27)</f>
        <v>89</v>
      </c>
    </row>
    <row r="28" spans="1:7" ht="15" customHeight="1" x14ac:dyDescent="0.25">
      <c r="A28" t="s">
        <v>161</v>
      </c>
      <c r="B28" t="str">
        <f>IFERROR(INDEX(Materiais!$B:$B,MATCH(A28,Materiais!$A:$A,0)),"")</f>
        <v>Painel de Comando</v>
      </c>
      <c r="C28" t="s">
        <v>287</v>
      </c>
      <c r="D28" s="22">
        <v>46160</v>
      </c>
      <c r="E28">
        <v>5</v>
      </c>
      <c r="F28" t="s">
        <v>266</v>
      </c>
      <c r="G28">
        <f ca="1">IF(F28="Convertida","-",TODAY()-D28)</f>
        <v>97</v>
      </c>
    </row>
    <row r="29" spans="1:7" ht="15" customHeight="1" x14ac:dyDescent="0.25">
      <c r="A29" t="s">
        <v>164</v>
      </c>
      <c r="B29" t="str">
        <f>IFERROR(INDEX(Materiais!$B:$B,MATCH(A29,Materiais!$A:$A,0)),"")</f>
        <v>Sensor de Vibracao</v>
      </c>
      <c r="C29" t="s">
        <v>288</v>
      </c>
      <c r="D29" s="22">
        <v>46240</v>
      </c>
      <c r="E29">
        <v>5</v>
      </c>
      <c r="F29" t="s">
        <v>261</v>
      </c>
      <c r="G29">
        <f ca="1">IF(F29="Convertida","-",TODAY()-D29)</f>
        <v>17</v>
      </c>
    </row>
    <row r="30" spans="1:7" ht="15" customHeight="1" x14ac:dyDescent="0.25">
      <c r="A30" t="s">
        <v>167</v>
      </c>
      <c r="B30" t="str">
        <f>IFERROR(INDEX(Materiais!$B:$B,MATCH(A30,Materiais!$A:$A,0)),"")</f>
        <v>Sensor de Temperatura</v>
      </c>
      <c r="C30" t="s">
        <v>289</v>
      </c>
      <c r="D30" s="22">
        <v>46151</v>
      </c>
      <c r="E30">
        <v>4</v>
      </c>
      <c r="F30" t="s">
        <v>266</v>
      </c>
      <c r="G30">
        <f ca="1">IF(F30="Convertida","-",TODAY()-D30)</f>
        <v>106</v>
      </c>
    </row>
    <row r="31" spans="1:7" ht="15" customHeight="1" x14ac:dyDescent="0.25">
      <c r="A31" t="s">
        <v>170</v>
      </c>
      <c r="B31" t="str">
        <f>IFERROR(INDEX(Materiais!$B:$B,MATCH(A31,Materiais!$A:$A,0)),"")</f>
        <v>Cabo Eletrico 4x10mm</v>
      </c>
      <c r="C31" t="s">
        <v>290</v>
      </c>
      <c r="D31" s="22">
        <v>46143</v>
      </c>
      <c r="E31">
        <v>6</v>
      </c>
      <c r="F31" t="s">
        <v>261</v>
      </c>
      <c r="G31">
        <f ca="1">IF(F31="Convertida","-",TODAY()-D31)</f>
        <v>114</v>
      </c>
    </row>
    <row r="32" spans="1:7" ht="15" customHeight="1" x14ac:dyDescent="0.25">
      <c r="A32" t="s">
        <v>167</v>
      </c>
      <c r="B32" t="str">
        <f>IFERROR(INDEX(Materiais!$B:$B,MATCH(A32,Materiais!$A:$A,0)),"")</f>
        <v>Sensor de Temperatura</v>
      </c>
      <c r="C32" s="34" t="s">
        <v>290</v>
      </c>
      <c r="D32" s="22">
        <v>46151</v>
      </c>
      <c r="E32">
        <v>4</v>
      </c>
      <c r="F32" t="s">
        <v>266</v>
      </c>
      <c r="G32">
        <f ca="1">IF(F32="Convertida","-",TODAY()-D32)</f>
        <v>106</v>
      </c>
    </row>
  </sheetData>
  <conditionalFormatting sqref="F2:F32">
    <cfRule type="expression" dxfId="5" priority="2">
      <formula>F2="Pendente"</formula>
    </cfRule>
    <cfRule type="expression" dxfId="4" priority="3">
      <formula>F2="Convertida"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3"/>
  <sheetViews>
    <sheetView zoomScaleNormal="100" workbookViewId="0">
      <pane ySplit="1" topLeftCell="A16" activePane="bottomLeft" state="frozen"/>
      <selection pane="bottomLeft" activeCell="N17" sqref="N17"/>
    </sheetView>
  </sheetViews>
  <sheetFormatPr defaultColWidth="8.7109375" defaultRowHeight="15" x14ac:dyDescent="0.25"/>
  <cols>
    <col min="1" max="1" width="17.28515625" customWidth="1"/>
    <col min="2" max="2" width="28" customWidth="1"/>
    <col min="3" max="3" width="13.42578125" customWidth="1"/>
    <col min="4" max="4" width="14.7109375" customWidth="1"/>
    <col min="5" max="5" width="18.5703125" customWidth="1"/>
    <col min="6" max="6" width="24" customWidth="1"/>
    <col min="7" max="7" width="13.5703125" customWidth="1"/>
    <col min="8" max="8" width="19.5703125" customWidth="1"/>
    <col min="9" max="9" width="16.7109375" customWidth="1"/>
    <col min="10" max="10" width="14.7109375" customWidth="1"/>
    <col min="11" max="11" width="19.42578125" customWidth="1"/>
    <col min="12" max="12" width="13" customWidth="1"/>
    <col min="13" max="13" width="17.7109375" customWidth="1"/>
    <col min="14" max="14" width="15.7109375" customWidth="1"/>
  </cols>
  <sheetData>
    <row r="1" spans="1:14" ht="27.75" customHeight="1" x14ac:dyDescent="0.25">
      <c r="A1" s="33" t="s">
        <v>252</v>
      </c>
      <c r="B1" s="33" t="s">
        <v>44</v>
      </c>
      <c r="C1" s="33" t="s">
        <v>291</v>
      </c>
      <c r="D1" s="33" t="s">
        <v>292</v>
      </c>
      <c r="E1" s="33" t="s">
        <v>293</v>
      </c>
      <c r="F1" s="33" t="s">
        <v>226</v>
      </c>
      <c r="G1" s="33" t="s">
        <v>253</v>
      </c>
      <c r="H1" s="33" t="s">
        <v>294</v>
      </c>
      <c r="I1" s="33" t="s">
        <v>295</v>
      </c>
      <c r="J1" s="33" t="s">
        <v>296</v>
      </c>
      <c r="K1" s="33" t="s">
        <v>297</v>
      </c>
      <c r="L1" s="33" t="s">
        <v>255</v>
      </c>
      <c r="M1" s="33" t="s">
        <v>298</v>
      </c>
      <c r="N1" s="33" t="s">
        <v>299</v>
      </c>
    </row>
    <row r="2" spans="1:14" ht="15" customHeight="1" x14ac:dyDescent="0.25">
      <c r="A2" t="s">
        <v>67</v>
      </c>
      <c r="B2" t="str">
        <f>IFERROR(INDEX(Materiais!$B:$B,MATCH(A2,Materiais!$A:$A,0)),"")</f>
        <v>Mandibula Fixa do Britador</v>
      </c>
      <c r="C2" t="s">
        <v>300</v>
      </c>
      <c r="D2" s="22">
        <v>46178</v>
      </c>
      <c r="E2" t="s">
        <v>71</v>
      </c>
      <c r="F2" t="str">
        <f>IFERROR(INDEX(Fornecedores!$B:$B,MATCH(E2,Fornecedores!$A:$A,0)),"")</f>
        <v>Metso Outotec Brasil</v>
      </c>
      <c r="G2">
        <v>3</v>
      </c>
      <c r="H2" s="20">
        <f>IFERROR(INDEX(Materiais!$F:$F,MATCH(A2,Materiais!$A:$A,0)),0)</f>
        <v>18500</v>
      </c>
      <c r="I2" s="20">
        <f>G2*H2</f>
        <v>55500</v>
      </c>
      <c r="J2" s="22">
        <v>46208</v>
      </c>
      <c r="K2" s="22">
        <v>46220</v>
      </c>
      <c r="L2" t="str">
        <f ca="1">IF(K2&lt;&gt;"","Recebido",IF(TODAY()&gt;J2,"Atrasado","Em Transito"))</f>
        <v>Recebido</v>
      </c>
      <c r="M2" t="str">
        <f>IF(K2="","-",IF(K2&lt;=J2,"No Prazo","Atrasado"))</f>
        <v>Atrasado</v>
      </c>
      <c r="N2">
        <f ca="1">IF(K2&lt;&gt;"",MAX(0,K2-J2),IF(TODAY()&gt;J2,TODAY()-J2,0))</f>
        <v>12</v>
      </c>
    </row>
    <row r="3" spans="1:14" ht="15" customHeight="1" x14ac:dyDescent="0.25">
      <c r="A3" t="s">
        <v>81</v>
      </c>
      <c r="B3" t="str">
        <f>IFERROR(INDEX(Materiais!$B:$B,MATCH(A3,Materiais!$A:$A,0)),"")</f>
        <v>Revestimento Manto</v>
      </c>
      <c r="C3" t="s">
        <v>301</v>
      </c>
      <c r="D3" s="22">
        <v>46171</v>
      </c>
      <c r="E3" t="s">
        <v>71</v>
      </c>
      <c r="F3" t="str">
        <f>IFERROR(INDEX(Fornecedores!$B:$B,MATCH(E3,Fornecedores!$A:$A,0)),"")</f>
        <v>Metso Outotec Brasil</v>
      </c>
      <c r="G3">
        <v>4</v>
      </c>
      <c r="H3" s="20">
        <f>IFERROR(INDEX(Materiais!$F:$F,MATCH(A3,Materiais!$A:$A,0)),0)</f>
        <v>11800</v>
      </c>
      <c r="I3" s="20">
        <f>G3*H3</f>
        <v>47200</v>
      </c>
      <c r="J3" s="22">
        <v>46201</v>
      </c>
      <c r="K3" s="22"/>
      <c r="L3" t="str">
        <f ca="1">IF(K3&lt;&gt;"","Recebido",IF(TODAY()&gt;J3,"Atrasado","Em Transito"))</f>
        <v>Atrasado</v>
      </c>
      <c r="M3" t="str">
        <f>IF(K3="","-",IF(K3&lt;=J3,"No Prazo","Atrasado"))</f>
        <v>-</v>
      </c>
      <c r="N3">
        <f ca="1">IF(K3&lt;&gt;"",MAX(0,K3-J3),IF(TODAY()&gt;J3,TODAY()-J3,0))</f>
        <v>56</v>
      </c>
    </row>
    <row r="4" spans="1:14" ht="15" customHeight="1" x14ac:dyDescent="0.25">
      <c r="A4" t="s">
        <v>92</v>
      </c>
      <c r="B4" t="str">
        <f>IFERROR(INDEX(Materiais!$B:$B,MATCH(A4,Materiais!$A:$A,0)),"")</f>
        <v>Placa de Impacto</v>
      </c>
      <c r="C4" t="s">
        <v>302</v>
      </c>
      <c r="D4" s="22">
        <v>46159</v>
      </c>
      <c r="E4" t="s">
        <v>86</v>
      </c>
      <c r="F4" t="str">
        <f>IFERROR(INDEX(Fornecedores!$B:$B,MATCH(E4,Fornecedores!$A:$A,0)),"")</f>
        <v>Sandvik Mining Brasil</v>
      </c>
      <c r="G4">
        <v>4</v>
      </c>
      <c r="H4" s="20">
        <f>IFERROR(INDEX(Materiais!$F:$F,MATCH(A4,Materiais!$A:$A,0)),0)</f>
        <v>1980</v>
      </c>
      <c r="I4" s="20">
        <f>G4*H4</f>
        <v>7920</v>
      </c>
      <c r="J4" s="22">
        <v>46184</v>
      </c>
      <c r="K4" s="22">
        <v>46191</v>
      </c>
      <c r="L4" t="str">
        <f ca="1">IF(K4&lt;&gt;"","Recebido",IF(TODAY()&gt;J4,"Atrasado","Em Transito"))</f>
        <v>Recebido</v>
      </c>
      <c r="M4" t="str">
        <f>IF(K4="","-",IF(K4&lt;=J4,"No Prazo","Atrasado"))</f>
        <v>Atrasado</v>
      </c>
      <c r="N4">
        <f ca="1">IF(K4&lt;&gt;"",MAX(0,K4-J4),IF(TODAY()&gt;J4,TODAY()-J4,0))</f>
        <v>7</v>
      </c>
    </row>
    <row r="5" spans="1:14" ht="15" customHeight="1" x14ac:dyDescent="0.25">
      <c r="A5" t="s">
        <v>102</v>
      </c>
      <c r="B5" t="str">
        <f>IFERROR(INDEX(Materiais!$B:$B,MATCH(A5,Materiais!$A:$A,0)),"")</f>
        <v>Bucha Excentrica</v>
      </c>
      <c r="C5" t="s">
        <v>303</v>
      </c>
      <c r="D5" s="22">
        <v>46187</v>
      </c>
      <c r="E5" t="s">
        <v>100</v>
      </c>
      <c r="F5" t="str">
        <f>IFERROR(INDEX(Fornecedores!$B:$B,MATCH(E5,Fornecedores!$A:$A,0)),"")</f>
        <v>Rolamentos ABC Ltda</v>
      </c>
      <c r="G5">
        <v>10</v>
      </c>
      <c r="H5" s="20">
        <f>IFERROR(INDEX(Materiais!$F:$F,MATCH(A5,Materiais!$A:$A,0)),0)</f>
        <v>2150</v>
      </c>
      <c r="I5" s="20">
        <f>G5*H5</f>
        <v>21500</v>
      </c>
      <c r="J5" s="22">
        <v>46195</v>
      </c>
      <c r="K5" s="22">
        <v>46195</v>
      </c>
      <c r="L5" t="str">
        <f ca="1">IF(K5&lt;&gt;"","Recebido",IF(TODAY()&gt;J5,"Atrasado","Em Transito"))</f>
        <v>Recebido</v>
      </c>
      <c r="M5" t="str">
        <f>IF(K5="","-",IF(K5&lt;=J5,"No Prazo","Atrasado"))</f>
        <v>No Prazo</v>
      </c>
      <c r="N5">
        <f ca="1">IF(K5&lt;&gt;"",MAX(0,K5-J5),IF(TODAY()&gt;J5,TODAY()-J5,0))</f>
        <v>0</v>
      </c>
    </row>
    <row r="6" spans="1:14" ht="15" customHeight="1" x14ac:dyDescent="0.25">
      <c r="A6" t="s">
        <v>111</v>
      </c>
      <c r="B6" t="str">
        <f>IFERROR(INDEX(Materiais!$B:$B,MATCH(A6,Materiais!$A:$A,0)),"")</f>
        <v>Rolamento 6205</v>
      </c>
      <c r="C6" t="s">
        <v>304</v>
      </c>
      <c r="D6" s="22">
        <v>46115</v>
      </c>
      <c r="E6" t="s">
        <v>100</v>
      </c>
      <c r="F6" t="str">
        <f>IFERROR(INDEX(Fornecedores!$B:$B,MATCH(E6,Fornecedores!$A:$A,0)),"")</f>
        <v>Rolamentos ABC Ltda</v>
      </c>
      <c r="G6">
        <v>3</v>
      </c>
      <c r="H6" s="20">
        <f>IFERROR(INDEX(Materiais!$F:$F,MATCH(A6,Materiais!$A:$A,0)),0)</f>
        <v>145</v>
      </c>
      <c r="I6" s="20">
        <f>G6*H6</f>
        <v>435</v>
      </c>
      <c r="J6" s="22">
        <v>46123</v>
      </c>
      <c r="K6" s="22"/>
      <c r="L6" t="str">
        <f ca="1">IF(K6&lt;&gt;"","Recebido",IF(TODAY()&gt;J6,"Atrasado","Em Transito"))</f>
        <v>Atrasado</v>
      </c>
      <c r="M6" t="str">
        <f>IF(K6="","-",IF(K6&lt;=J6,"No Prazo","Atrasado"))</f>
        <v>-</v>
      </c>
      <c r="N6">
        <f ca="1">IF(K6&lt;&gt;"",MAX(0,K6-J6),IF(TODAY()&gt;J6,TODAY()-J6,0))</f>
        <v>134</v>
      </c>
    </row>
    <row r="7" spans="1:14" ht="15" customHeight="1" x14ac:dyDescent="0.25">
      <c r="A7" t="s">
        <v>122</v>
      </c>
      <c r="B7" t="str">
        <f>IFERROR(INDEX(Materiais!$B:$B,MATCH(A7,Materiais!$A:$A,0)),"")</f>
        <v>Rolamento Esferico 22318</v>
      </c>
      <c r="C7" t="s">
        <v>305</v>
      </c>
      <c r="D7" s="22">
        <v>46133</v>
      </c>
      <c r="E7" t="s">
        <v>120</v>
      </c>
      <c r="F7" t="str">
        <f>IFERROR(INDEX(Fornecedores!$B:$B,MATCH(E7,Fornecedores!$A:$A,0)),"")</f>
        <v>SKF do Brasil Ltda</v>
      </c>
      <c r="G7">
        <v>5</v>
      </c>
      <c r="H7" s="20">
        <f>IFERROR(INDEX(Materiais!$F:$F,MATCH(A7,Materiais!$A:$A,0)),0)</f>
        <v>1240</v>
      </c>
      <c r="I7" s="20">
        <f>G7*H7</f>
        <v>6200</v>
      </c>
      <c r="J7" s="22">
        <v>46148</v>
      </c>
      <c r="K7" s="22"/>
      <c r="L7" t="str">
        <f ca="1">IF(K7&lt;&gt;"","Recebido",IF(TODAY()&gt;J7,"Atrasado","Em Transito"))</f>
        <v>Atrasado</v>
      </c>
      <c r="M7" t="str">
        <f>IF(K7="","-",IF(K7&lt;=J7,"No Prazo","Atrasado"))</f>
        <v>-</v>
      </c>
      <c r="N7">
        <f ca="1">IF(K7&lt;&gt;"",MAX(0,K7-J7),IF(TODAY()&gt;J7,TODAY()-J7,0))</f>
        <v>109</v>
      </c>
    </row>
    <row r="8" spans="1:14" ht="15" customHeight="1" x14ac:dyDescent="0.25">
      <c r="A8" t="s">
        <v>131</v>
      </c>
      <c r="B8" t="str">
        <f>IFERROR(INDEX(Materiais!$B:$B,MATCH(A8,Materiais!$A:$A,0)),"")</f>
        <v>Correia Transportadora B-1200</v>
      </c>
      <c r="C8" t="s">
        <v>306</v>
      </c>
      <c r="D8" s="22">
        <v>46227</v>
      </c>
      <c r="E8" t="s">
        <v>135</v>
      </c>
      <c r="F8" t="str">
        <f>IFERROR(INDEX(Fornecedores!$B:$B,MATCH(E8,Fornecedores!$A:$A,0)),"")</f>
        <v>Gates Correias Industriais</v>
      </c>
      <c r="G8">
        <v>3</v>
      </c>
      <c r="H8" s="20">
        <f>IFERROR(INDEX(Materiais!$F:$F,MATCH(A8,Materiais!$A:$A,0)),0)</f>
        <v>320</v>
      </c>
      <c r="I8" s="20">
        <f>G8*H8</f>
        <v>960</v>
      </c>
      <c r="J8" s="22">
        <v>46237</v>
      </c>
      <c r="K8" s="22"/>
      <c r="L8" t="str">
        <f ca="1">IF(K8&lt;&gt;"","Recebido",IF(TODAY()&gt;J8,"Atrasado","Em Transito"))</f>
        <v>Atrasado</v>
      </c>
      <c r="M8" t="str">
        <f>IF(K8="","-",IF(K8&lt;=J8,"No Prazo","Atrasado"))</f>
        <v>-</v>
      </c>
      <c r="N8">
        <f ca="1">IF(K8&lt;&gt;"",MAX(0,K8-J8),IF(TODAY()&gt;J8,TODAY()-J8,0))</f>
        <v>20</v>
      </c>
    </row>
    <row r="9" spans="1:14" ht="15" customHeight="1" x14ac:dyDescent="0.25">
      <c r="A9" t="s">
        <v>144</v>
      </c>
      <c r="B9" t="str">
        <f>IFERROR(INDEX(Materiais!$B:$B,MATCH(A9,Materiais!$A:$A,0)),"")</f>
        <v>Polia Movida</v>
      </c>
      <c r="C9" t="s">
        <v>307</v>
      </c>
      <c r="D9" s="22">
        <v>46177</v>
      </c>
      <c r="E9" t="s">
        <v>142</v>
      </c>
      <c r="F9" t="str">
        <f>IFERROR(INDEX(Fornecedores!$B:$B,MATCH(E9,Fornecedores!$A:$A,0)),"")</f>
        <v>WEG Equipamentos S.A.</v>
      </c>
      <c r="G9">
        <v>8</v>
      </c>
      <c r="H9" s="20">
        <f>IFERROR(INDEX(Materiais!$F:$F,MATCH(A9,Materiais!$A:$A,0)),0)</f>
        <v>2180</v>
      </c>
      <c r="I9" s="20">
        <f>G9*H9</f>
        <v>17440</v>
      </c>
      <c r="J9" s="22">
        <v>46189</v>
      </c>
      <c r="K9" s="22">
        <v>46189</v>
      </c>
      <c r="L9" t="str">
        <f ca="1">IF(K9&lt;&gt;"","Recebido",IF(TODAY()&gt;J9,"Atrasado","Em Transito"))</f>
        <v>Recebido</v>
      </c>
      <c r="M9" t="str">
        <f>IF(K9="","-",IF(K9&lt;=J9,"No Prazo","Atrasado"))</f>
        <v>No Prazo</v>
      </c>
      <c r="N9">
        <f ca="1">IF(K9&lt;&gt;"",MAX(0,K9-J9),IF(TODAY()&gt;J9,TODAY()-J9,0))</f>
        <v>0</v>
      </c>
    </row>
    <row r="10" spans="1:14" ht="15" customHeight="1" x14ac:dyDescent="0.25">
      <c r="A10" t="s">
        <v>154</v>
      </c>
      <c r="B10" t="str">
        <f>IFERROR(INDEX(Materiais!$B:$B,MATCH(A10,Materiais!$A:$A,0)),"")</f>
        <v>Motor Eletrico 150cv</v>
      </c>
      <c r="C10" t="s">
        <v>308</v>
      </c>
      <c r="D10" s="22">
        <v>46221</v>
      </c>
      <c r="E10" t="s">
        <v>142</v>
      </c>
      <c r="F10" t="str">
        <f>IFERROR(INDEX(Fornecedores!$B:$B,MATCH(E10,Fornecedores!$A:$A,0)),"")</f>
        <v>WEG Equipamentos S.A.</v>
      </c>
      <c r="G10">
        <v>7</v>
      </c>
      <c r="H10" s="20">
        <f>IFERROR(INDEX(Materiais!$F:$F,MATCH(A10,Materiais!$A:$A,0)),0)</f>
        <v>32500</v>
      </c>
      <c r="I10" s="20">
        <f>G10*H10</f>
        <v>227500</v>
      </c>
      <c r="J10" s="22">
        <v>46233</v>
      </c>
      <c r="K10" s="22"/>
      <c r="L10" t="str">
        <f ca="1">IF(K10&lt;&gt;"","Recebido",IF(TODAY()&gt;J10,"Atrasado","Em Transito"))</f>
        <v>Atrasado</v>
      </c>
      <c r="M10" t="str">
        <f>IF(K10="","-",IF(K10&lt;=J10,"No Prazo","Atrasado"))</f>
        <v>-</v>
      </c>
      <c r="N10">
        <f ca="1">IF(K10&lt;&gt;"",MAX(0,K10-J10),IF(TODAY()&gt;J10,TODAY()-J10,0))</f>
        <v>24</v>
      </c>
    </row>
    <row r="11" spans="1:14" ht="15" customHeight="1" x14ac:dyDescent="0.25">
      <c r="A11" t="s">
        <v>164</v>
      </c>
      <c r="B11" t="str">
        <f>IFERROR(INDEX(Materiais!$B:$B,MATCH(A11,Materiais!$A:$A,0)),"")</f>
        <v>Sensor de Vibracao</v>
      </c>
      <c r="C11" t="s">
        <v>309</v>
      </c>
      <c r="D11" s="22">
        <v>46192</v>
      </c>
      <c r="E11" t="s">
        <v>142</v>
      </c>
      <c r="F11" t="str">
        <f>IFERROR(INDEX(Fornecedores!$B:$B,MATCH(E11,Fornecedores!$A:$A,0)),"")</f>
        <v>WEG Equipamentos S.A.</v>
      </c>
      <c r="G11">
        <v>6</v>
      </c>
      <c r="H11" s="20">
        <f>IFERROR(INDEX(Materiais!$F:$F,MATCH(A11,Materiais!$A:$A,0)),0)</f>
        <v>1350</v>
      </c>
      <c r="I11" s="20">
        <f>G11*H11</f>
        <v>8100</v>
      </c>
      <c r="J11" s="22">
        <v>46204</v>
      </c>
      <c r="K11" s="22"/>
      <c r="L11" t="str">
        <f ca="1">IF(K11&lt;&gt;"","Recebido",IF(TODAY()&gt;J11,"Atrasado","Em Transito"))</f>
        <v>Atrasado</v>
      </c>
      <c r="M11" t="str">
        <f>IF(K11="","-",IF(K11&lt;=J11,"No Prazo","Atrasado"))</f>
        <v>-</v>
      </c>
      <c r="N11">
        <f ca="1">IF(K11&lt;&gt;"",MAX(0,K11-J11),IF(TODAY()&gt;J11,TODAY()-J11,0))</f>
        <v>53</v>
      </c>
    </row>
    <row r="12" spans="1:14" ht="15" customHeight="1" x14ac:dyDescent="0.25">
      <c r="A12" t="s">
        <v>173</v>
      </c>
      <c r="B12" t="str">
        <f>IFERROR(INDEX(Materiais!$B:$B,MATCH(A12,Materiais!$A:$A,0)),"")</f>
        <v>Contator Tripolar</v>
      </c>
      <c r="C12" t="s">
        <v>310</v>
      </c>
      <c r="D12" s="22">
        <v>46179</v>
      </c>
      <c r="E12" t="s">
        <v>142</v>
      </c>
      <c r="F12" t="str">
        <f>IFERROR(INDEX(Fornecedores!$B:$B,MATCH(E12,Fornecedores!$A:$A,0)),"")</f>
        <v>WEG Equipamentos S.A.</v>
      </c>
      <c r="G12">
        <v>9</v>
      </c>
      <c r="H12" s="20">
        <f>IFERROR(INDEX(Materiais!$F:$F,MATCH(A12,Materiais!$A:$A,0)),0)</f>
        <v>340</v>
      </c>
      <c r="I12" s="20">
        <f>G12*H12</f>
        <v>3060</v>
      </c>
      <c r="J12" s="22">
        <v>46191</v>
      </c>
      <c r="K12" s="22"/>
      <c r="L12" t="str">
        <f ca="1">IF(K12&lt;&gt;"","Recebido",IF(TODAY()&gt;J12,"Atrasado","Em Transito"))</f>
        <v>Atrasado</v>
      </c>
      <c r="M12" t="str">
        <f>IF(K12="","-",IF(K12&lt;=J12,"No Prazo","Atrasado"))</f>
        <v>-</v>
      </c>
      <c r="N12">
        <f ca="1">IF(K12&lt;&gt;"",MAX(0,K12-J12),IF(TODAY()&gt;J12,TODAY()-J12,0))</f>
        <v>66</v>
      </c>
    </row>
    <row r="13" spans="1:14" ht="15" customHeight="1" x14ac:dyDescent="0.25">
      <c r="A13" t="s">
        <v>184</v>
      </c>
      <c r="B13" t="str">
        <f>IFERROR(INDEX(Materiais!$B:$B,MATCH(A13,Materiais!$A:$A,0)),"")</f>
        <v>Mangueira Hidraulica 1 polegada</v>
      </c>
      <c r="C13" t="s">
        <v>311</v>
      </c>
      <c r="D13" s="22">
        <v>46146</v>
      </c>
      <c r="E13" t="s">
        <v>179</v>
      </c>
      <c r="F13" t="str">
        <f>IFERROR(INDEX(Fornecedores!$B:$B,MATCH(E13,Fornecedores!$A:$A,0)),"")</f>
        <v>Bosch Rexroth Brasil</v>
      </c>
      <c r="G13">
        <v>8</v>
      </c>
      <c r="H13" s="20">
        <f>IFERROR(INDEX(Materiais!$F:$F,MATCH(A13,Materiais!$A:$A,0)),0)</f>
        <v>85</v>
      </c>
      <c r="I13" s="20">
        <f>G13*H13</f>
        <v>680</v>
      </c>
      <c r="J13" s="22">
        <v>46166</v>
      </c>
      <c r="K13" s="22">
        <v>46178</v>
      </c>
      <c r="L13" t="str">
        <f ca="1">IF(K13&lt;&gt;"","Recebido",IF(TODAY()&gt;J13,"Atrasado","Em Transito"))</f>
        <v>Recebido</v>
      </c>
      <c r="M13" t="str">
        <f>IF(K13="","-",IF(K13&lt;=J13,"No Prazo","Atrasado"))</f>
        <v>Atrasado</v>
      </c>
      <c r="N13">
        <f ca="1">IF(K13&lt;&gt;"",MAX(0,K13-J13),IF(TODAY()&gt;J13,TODAY()-J13,0))</f>
        <v>12</v>
      </c>
    </row>
    <row r="14" spans="1:14" ht="15" customHeight="1" x14ac:dyDescent="0.25">
      <c r="A14" t="s">
        <v>194</v>
      </c>
      <c r="B14" t="str">
        <f>IFERROR(INDEX(Materiais!$B:$B,MATCH(A14,Materiais!$A:$A,0)),"")</f>
        <v>Filtro de Oleo Lubrificante</v>
      </c>
      <c r="C14" t="s">
        <v>312</v>
      </c>
      <c r="D14" s="22">
        <v>46157</v>
      </c>
      <c r="E14" t="s">
        <v>100</v>
      </c>
      <c r="F14" t="str">
        <f>IFERROR(INDEX(Fornecedores!$B:$B,MATCH(E14,Fornecedores!$A:$A,0)),"")</f>
        <v>Rolamentos ABC Ltda</v>
      </c>
      <c r="G14">
        <v>9</v>
      </c>
      <c r="H14" s="20">
        <f>IFERROR(INDEX(Materiais!$F:$F,MATCH(A14,Materiais!$A:$A,0)),0)</f>
        <v>95</v>
      </c>
      <c r="I14" s="20">
        <f>G14*H14</f>
        <v>855</v>
      </c>
      <c r="J14" s="22">
        <v>46165</v>
      </c>
      <c r="K14" s="22">
        <v>46165</v>
      </c>
      <c r="L14" t="str">
        <f ca="1">IF(K14&lt;&gt;"","Recebido",IF(TODAY()&gt;J14,"Atrasado","Em Transito"))</f>
        <v>Recebido</v>
      </c>
      <c r="M14" t="str">
        <f>IF(K14="","-",IF(K14&lt;=J14,"No Prazo","Atrasado"))</f>
        <v>No Prazo</v>
      </c>
      <c r="N14">
        <f ca="1">IF(K14&lt;&gt;"",MAX(0,K14-J14),IF(TODAY()&gt;J14,TODAY()-J14,0))</f>
        <v>0</v>
      </c>
    </row>
    <row r="15" spans="1:14" ht="15" customHeight="1" x14ac:dyDescent="0.25">
      <c r="A15" t="s">
        <v>206</v>
      </c>
      <c r="B15" t="str">
        <f>IFERROR(INDEX(Materiais!$B:$B,MATCH(A15,Materiais!$A:$A,0)),"")</f>
        <v>Graxa Industrial EP2</v>
      </c>
      <c r="C15" t="s">
        <v>313</v>
      </c>
      <c r="D15" s="22">
        <v>46203</v>
      </c>
      <c r="E15" t="s">
        <v>204</v>
      </c>
      <c r="F15" t="str">
        <f>IFERROR(INDEX(Fornecedores!$B:$B,MATCH(E15,Fornecedores!$A:$A,0)),"")</f>
        <v>Ferragens Industrial XYZ</v>
      </c>
      <c r="G15">
        <v>5</v>
      </c>
      <c r="H15" s="20">
        <f>IFERROR(INDEX(Materiais!$F:$F,MATCH(A15,Materiais!$A:$A,0)),0)</f>
        <v>32</v>
      </c>
      <c r="I15" s="20">
        <f>G15*H15</f>
        <v>160</v>
      </c>
      <c r="J15" s="22">
        <v>46208</v>
      </c>
      <c r="K15" s="22">
        <v>46211</v>
      </c>
      <c r="L15" t="str">
        <f ca="1">IF(K15&lt;&gt;"","Recebido",IF(TODAY()&gt;J15,"Atrasado","Em Transito"))</f>
        <v>Recebido</v>
      </c>
      <c r="M15" t="str">
        <f>IF(K15="","-",IF(K15&lt;=J15,"No Prazo","Atrasado"))</f>
        <v>Atrasado</v>
      </c>
      <c r="N15">
        <f ca="1">IF(K15&lt;&gt;"",MAX(0,K15-J15),IF(TODAY()&gt;J15,TODAY()-J15,0))</f>
        <v>3</v>
      </c>
    </row>
    <row r="16" spans="1:14" ht="15" customHeight="1" x14ac:dyDescent="0.25">
      <c r="A16" t="s">
        <v>217</v>
      </c>
      <c r="B16" t="str">
        <f>IFERROR(INDEX(Materiais!$B:$B,MATCH(A16,Materiais!$A:$A,0)),"")</f>
        <v>Arruela de Pressao M24</v>
      </c>
      <c r="C16" t="s">
        <v>314</v>
      </c>
      <c r="D16" s="22">
        <v>46183</v>
      </c>
      <c r="E16" t="s">
        <v>204</v>
      </c>
      <c r="F16" t="str">
        <f>IFERROR(INDEX(Fornecedores!$B:$B,MATCH(E16,Fornecedores!$A:$A,0)),"")</f>
        <v>Ferragens Industrial XYZ</v>
      </c>
      <c r="G16">
        <v>10</v>
      </c>
      <c r="H16" s="20">
        <f>IFERROR(INDEX(Materiais!$F:$F,MATCH(A16,Materiais!$A:$A,0)),0)</f>
        <v>2.2000000000000002</v>
      </c>
      <c r="I16" s="20">
        <f>G16*H16</f>
        <v>22</v>
      </c>
      <c r="J16" s="22">
        <v>46188</v>
      </c>
      <c r="K16" s="22">
        <v>46188</v>
      </c>
      <c r="L16" t="str">
        <f ca="1">IF(K16&lt;&gt;"","Recebido",IF(TODAY()&gt;J16,"Atrasado","Em Transito"))</f>
        <v>Recebido</v>
      </c>
      <c r="M16" t="str">
        <f>IF(K16="","-",IF(K16&lt;=J16,"No Prazo","Atrasado"))</f>
        <v>No Prazo</v>
      </c>
      <c r="N16">
        <f ca="1">IF(K16&lt;&gt;"",MAX(0,K16-J16),IF(TODAY()&gt;J16,TODAY()-J16,0))</f>
        <v>0</v>
      </c>
    </row>
    <row r="17" spans="1:14" ht="15" customHeight="1" x14ac:dyDescent="0.25">
      <c r="A17" t="s">
        <v>67</v>
      </c>
      <c r="B17" t="str">
        <f>IFERROR(INDEX(Materiais!$B:$B,MATCH(A17,Materiais!$A:$A,0)),"")</f>
        <v>Mandibula Fixa do Britador</v>
      </c>
      <c r="C17" t="s">
        <v>315</v>
      </c>
      <c r="D17" s="22">
        <v>46237</v>
      </c>
      <c r="E17" t="s">
        <v>71</v>
      </c>
      <c r="F17" t="str">
        <f>IFERROR(INDEX(Fornecedores!$B:$B,MATCH(E17,Fornecedores!$A:$A,0)),"")</f>
        <v>Metso Outotec Brasil</v>
      </c>
      <c r="G17">
        <v>10</v>
      </c>
      <c r="H17" s="20">
        <f>IFERROR(INDEX(Materiais!$F:$F,MATCH(A17,Materiais!$A:$A,0)),0)</f>
        <v>18500</v>
      </c>
      <c r="I17" s="20">
        <f>G17*H17</f>
        <v>185000</v>
      </c>
      <c r="J17" s="22">
        <v>46267</v>
      </c>
      <c r="K17" s="22"/>
      <c r="L17" t="str">
        <f ca="1">IF(K17&lt;&gt;"","Recebido",IF(TODAY()&gt;J17,"Atrasado","Em Transito"))</f>
        <v>Em Transito</v>
      </c>
      <c r="M17" t="str">
        <f>IF(K17="","-",IF(K17&lt;=J17,"No Prazo","Atrasado"))</f>
        <v>-</v>
      </c>
      <c r="N17">
        <f ca="1">IF(K17&lt;&gt;"",MAX(0,K17-J17),IF(TODAY()&gt;J17,TODAY()-J17,0))</f>
        <v>0</v>
      </c>
    </row>
    <row r="18" spans="1:14" ht="15" customHeight="1" x14ac:dyDescent="0.25">
      <c r="A18" t="s">
        <v>81</v>
      </c>
      <c r="B18" t="str">
        <f>IFERROR(INDEX(Materiais!$B:$B,MATCH(A18,Materiais!$A:$A,0)),"")</f>
        <v>Revestimento Manto</v>
      </c>
      <c r="C18" t="s">
        <v>316</v>
      </c>
      <c r="D18" s="22">
        <v>46172</v>
      </c>
      <c r="E18" t="s">
        <v>71</v>
      </c>
      <c r="F18" t="str">
        <f>IFERROR(INDEX(Fornecedores!$B:$B,MATCH(E18,Fornecedores!$A:$A,0)),"")</f>
        <v>Metso Outotec Brasil</v>
      </c>
      <c r="G18">
        <v>6</v>
      </c>
      <c r="H18" s="20">
        <f>IFERROR(INDEX(Materiais!$F:$F,MATCH(A18,Materiais!$A:$A,0)),0)</f>
        <v>11800</v>
      </c>
      <c r="I18" s="20">
        <f>G18*H18</f>
        <v>70800</v>
      </c>
      <c r="J18" s="22">
        <v>46202</v>
      </c>
      <c r="K18" s="22"/>
      <c r="L18" t="str">
        <f ca="1">IF(K18&lt;&gt;"","Recebido",IF(TODAY()&gt;J18,"Atrasado","Em Transito"))</f>
        <v>Atrasado</v>
      </c>
      <c r="M18" t="str">
        <f>IF(K18="","-",IF(K18&lt;=J18,"No Prazo","Atrasado"))</f>
        <v>-</v>
      </c>
      <c r="N18">
        <f ca="1">IF(K18&lt;&gt;"",MAX(0,K18-J18),IF(TODAY()&gt;J18,TODAY()-J18,0))</f>
        <v>55</v>
      </c>
    </row>
    <row r="19" spans="1:14" ht="15" customHeight="1" x14ac:dyDescent="0.25">
      <c r="A19" t="s">
        <v>92</v>
      </c>
      <c r="B19" t="str">
        <f>IFERROR(INDEX(Materiais!$B:$B,MATCH(A19,Materiais!$A:$A,0)),"")</f>
        <v>Placa de Impacto</v>
      </c>
      <c r="C19" t="s">
        <v>317</v>
      </c>
      <c r="D19" s="22">
        <v>46145</v>
      </c>
      <c r="E19" t="s">
        <v>86</v>
      </c>
      <c r="F19" t="str">
        <f>IFERROR(INDEX(Fornecedores!$B:$B,MATCH(E19,Fornecedores!$A:$A,0)),"")</f>
        <v>Sandvik Mining Brasil</v>
      </c>
      <c r="G19">
        <v>8</v>
      </c>
      <c r="H19" s="20">
        <f>IFERROR(INDEX(Materiais!$F:$F,MATCH(A19,Materiais!$A:$A,0)),0)</f>
        <v>1980</v>
      </c>
      <c r="I19" s="20">
        <f>G19*H19</f>
        <v>15840</v>
      </c>
      <c r="J19" s="22">
        <v>46170</v>
      </c>
      <c r="K19" s="22">
        <v>46182</v>
      </c>
      <c r="L19" t="str">
        <f ca="1">IF(K19&lt;&gt;"","Recebido",IF(TODAY()&gt;J19,"Atrasado","Em Transito"))</f>
        <v>Recebido</v>
      </c>
      <c r="M19" t="str">
        <f>IF(K19="","-",IF(K19&lt;=J19,"No Prazo","Atrasado"))</f>
        <v>Atrasado</v>
      </c>
      <c r="N19">
        <f ca="1">IF(K19&lt;&gt;"",MAX(0,K19-J19),IF(TODAY()&gt;J19,TODAY()-J19,0))</f>
        <v>12</v>
      </c>
    </row>
    <row r="20" spans="1:14" ht="15" customHeight="1" x14ac:dyDescent="0.25">
      <c r="A20" t="s">
        <v>102</v>
      </c>
      <c r="B20" t="str">
        <f>IFERROR(INDEX(Materiais!$B:$B,MATCH(A20,Materiais!$A:$A,0)),"")</f>
        <v>Bucha Excentrica</v>
      </c>
      <c r="C20" t="s">
        <v>318</v>
      </c>
      <c r="D20" s="22">
        <v>46211</v>
      </c>
      <c r="E20" t="s">
        <v>100</v>
      </c>
      <c r="F20" t="str">
        <f>IFERROR(INDEX(Fornecedores!$B:$B,MATCH(E20,Fornecedores!$A:$A,0)),"")</f>
        <v>Rolamentos ABC Ltda</v>
      </c>
      <c r="G20">
        <v>1</v>
      </c>
      <c r="H20" s="20">
        <f>IFERROR(INDEX(Materiais!$F:$F,MATCH(A20,Materiais!$A:$A,0)),0)</f>
        <v>2150</v>
      </c>
      <c r="I20" s="20">
        <f>G20*H20</f>
        <v>2150</v>
      </c>
      <c r="J20" s="22">
        <v>46219</v>
      </c>
      <c r="K20" s="22">
        <v>46222</v>
      </c>
      <c r="L20" t="str">
        <f ca="1">IF(K20&lt;&gt;"","Recebido",IF(TODAY()&gt;J20,"Atrasado","Em Transito"))</f>
        <v>Recebido</v>
      </c>
      <c r="M20" t="str">
        <f>IF(K20="","-",IF(K20&lt;=J20,"No Prazo","Atrasado"))</f>
        <v>Atrasado</v>
      </c>
      <c r="N20">
        <f ca="1">IF(K20&lt;&gt;"",MAX(0,K20-J20),IF(TODAY()&gt;J20,TODAY()-J20,0))</f>
        <v>3</v>
      </c>
    </row>
    <row r="21" spans="1:14" ht="15" customHeight="1" x14ac:dyDescent="0.25">
      <c r="A21" t="s">
        <v>111</v>
      </c>
      <c r="B21" t="str">
        <f>IFERROR(INDEX(Materiais!$B:$B,MATCH(A21,Materiais!$A:$A,0)),"")</f>
        <v>Rolamento 6205</v>
      </c>
      <c r="C21" t="s">
        <v>319</v>
      </c>
      <c r="D21" s="22">
        <v>46169</v>
      </c>
      <c r="E21" t="s">
        <v>100</v>
      </c>
      <c r="F21" t="str">
        <f>IFERROR(INDEX(Fornecedores!$B:$B,MATCH(E21,Fornecedores!$A:$A,0)),"")</f>
        <v>Rolamentos ABC Ltda</v>
      </c>
      <c r="G21">
        <v>8</v>
      </c>
      <c r="H21" s="20">
        <f>IFERROR(INDEX(Materiais!$F:$F,MATCH(A21,Materiais!$A:$A,0)),0)</f>
        <v>145</v>
      </c>
      <c r="I21" s="20">
        <f>G21*H21</f>
        <v>1160</v>
      </c>
      <c r="J21" s="22">
        <v>46177</v>
      </c>
      <c r="K21" s="22">
        <v>46189</v>
      </c>
      <c r="L21" t="str">
        <f ca="1">IF(K21&lt;&gt;"","Recebido",IF(TODAY()&gt;J21,"Atrasado","Em Transito"))</f>
        <v>Recebido</v>
      </c>
      <c r="M21" t="str">
        <f>IF(K21="","-",IF(K21&lt;=J21,"No Prazo","Atrasado"))</f>
        <v>Atrasado</v>
      </c>
      <c r="N21">
        <f ca="1">IF(K21&lt;&gt;"",MAX(0,K21-J21),IF(TODAY()&gt;J21,TODAY()-J21,0))</f>
        <v>12</v>
      </c>
    </row>
    <row r="22" spans="1:14" ht="15" customHeight="1" x14ac:dyDescent="0.25">
      <c r="A22" t="s">
        <v>122</v>
      </c>
      <c r="B22" t="str">
        <f>IFERROR(INDEX(Materiais!$B:$B,MATCH(A22,Materiais!$A:$A,0)),"")</f>
        <v>Rolamento Esferico 22318</v>
      </c>
      <c r="C22" t="s">
        <v>320</v>
      </c>
      <c r="D22" s="22">
        <v>46176</v>
      </c>
      <c r="E22" t="s">
        <v>120</v>
      </c>
      <c r="F22" t="str">
        <f>IFERROR(INDEX(Fornecedores!$B:$B,MATCH(E22,Fornecedores!$A:$A,0)),"")</f>
        <v>SKF do Brasil Ltda</v>
      </c>
      <c r="G22">
        <v>5</v>
      </c>
      <c r="H22" s="20">
        <f>IFERROR(INDEX(Materiais!$F:$F,MATCH(A22,Materiais!$A:$A,0)),0)</f>
        <v>1240</v>
      </c>
      <c r="I22" s="20">
        <f>G22*H22</f>
        <v>6200</v>
      </c>
      <c r="J22" s="22">
        <v>46191</v>
      </c>
      <c r="K22" s="22">
        <v>46194</v>
      </c>
      <c r="L22" t="str">
        <f ca="1">IF(K22&lt;&gt;"","Recebido",IF(TODAY()&gt;J22,"Atrasado","Em Transito"))</f>
        <v>Recebido</v>
      </c>
      <c r="M22" t="str">
        <f>IF(K22="","-",IF(K22&lt;=J22,"No Prazo","Atrasado"))</f>
        <v>Atrasado</v>
      </c>
      <c r="N22">
        <f ca="1">IF(K22&lt;&gt;"",MAX(0,K22-J22),IF(TODAY()&gt;J22,TODAY()-J22,0))</f>
        <v>3</v>
      </c>
    </row>
    <row r="23" spans="1:14" ht="15" customHeight="1" x14ac:dyDescent="0.25">
      <c r="A23" t="s">
        <v>131</v>
      </c>
      <c r="B23" t="str">
        <f>IFERROR(INDEX(Materiais!$B:$B,MATCH(A23,Materiais!$A:$A,0)),"")</f>
        <v>Correia Transportadora B-1200</v>
      </c>
      <c r="C23" t="s">
        <v>321</v>
      </c>
      <c r="D23" s="22">
        <v>46201</v>
      </c>
      <c r="E23" t="s">
        <v>135</v>
      </c>
      <c r="F23" t="str">
        <f>IFERROR(INDEX(Fornecedores!$B:$B,MATCH(E23,Fornecedores!$A:$A,0)),"")</f>
        <v>Gates Correias Industriais</v>
      </c>
      <c r="G23">
        <v>6</v>
      </c>
      <c r="H23" s="20">
        <f>IFERROR(INDEX(Materiais!$F:$F,MATCH(A23,Materiais!$A:$A,0)),0)</f>
        <v>320</v>
      </c>
      <c r="I23" s="20">
        <f>G23*H23</f>
        <v>1920</v>
      </c>
      <c r="J23" s="22">
        <v>46211</v>
      </c>
      <c r="K23" s="22">
        <v>46223</v>
      </c>
      <c r="L23" t="str">
        <f ca="1">IF(K23&lt;&gt;"","Recebido",IF(TODAY()&gt;J23,"Atrasado","Em Transito"))</f>
        <v>Recebido</v>
      </c>
      <c r="M23" t="str">
        <f>IF(K23="","-",IF(K23&lt;=J23,"No Prazo","Atrasado"))</f>
        <v>Atrasado</v>
      </c>
      <c r="N23">
        <f ca="1">IF(K23&lt;&gt;"",MAX(0,K23-J23),IF(TODAY()&gt;J23,TODAY()-J23,0))</f>
        <v>12</v>
      </c>
    </row>
    <row r="24" spans="1:14" ht="15" customHeight="1" x14ac:dyDescent="0.25">
      <c r="A24" t="s">
        <v>144</v>
      </c>
      <c r="B24" t="str">
        <f>IFERROR(INDEX(Materiais!$B:$B,MATCH(A24,Materiais!$A:$A,0)),"")</f>
        <v>Polia Movida</v>
      </c>
      <c r="C24" t="s">
        <v>322</v>
      </c>
      <c r="D24" s="22">
        <v>46147</v>
      </c>
      <c r="E24" t="s">
        <v>142</v>
      </c>
      <c r="F24" t="str">
        <f>IFERROR(INDEX(Fornecedores!$B:$B,MATCH(E24,Fornecedores!$A:$A,0)),"")</f>
        <v>WEG Equipamentos S.A.</v>
      </c>
      <c r="G24">
        <v>10</v>
      </c>
      <c r="H24" s="20">
        <f>IFERROR(INDEX(Materiais!$F:$F,MATCH(A24,Materiais!$A:$A,0)),0)</f>
        <v>2180</v>
      </c>
      <c r="I24" s="20">
        <f>G24*H24</f>
        <v>21800</v>
      </c>
      <c r="J24" s="22">
        <v>46159</v>
      </c>
      <c r="K24" s="22"/>
      <c r="L24" t="str">
        <f ca="1">IF(K24&lt;&gt;"","Recebido",IF(TODAY()&gt;J24,"Atrasado","Em Transito"))</f>
        <v>Atrasado</v>
      </c>
      <c r="M24" t="str">
        <f>IF(K24="","-",IF(K24&lt;=J24,"No Prazo","Atrasado"))</f>
        <v>-</v>
      </c>
      <c r="N24">
        <f ca="1">IF(K24&lt;&gt;"",MAX(0,K24-J24),IF(TODAY()&gt;J24,TODAY()-J24,0))</f>
        <v>98</v>
      </c>
    </row>
    <row r="25" spans="1:14" ht="15" customHeight="1" x14ac:dyDescent="0.25">
      <c r="A25" t="s">
        <v>154</v>
      </c>
      <c r="B25" t="str">
        <f>IFERROR(INDEX(Materiais!$B:$B,MATCH(A25,Materiais!$A:$A,0)),"")</f>
        <v>Motor Eletrico 150cv</v>
      </c>
      <c r="C25" t="s">
        <v>323</v>
      </c>
      <c r="D25" s="22">
        <v>46172</v>
      </c>
      <c r="E25" t="s">
        <v>142</v>
      </c>
      <c r="F25" t="str">
        <f>IFERROR(INDEX(Fornecedores!$B:$B,MATCH(E25,Fornecedores!$A:$A,0)),"")</f>
        <v>WEG Equipamentos S.A.</v>
      </c>
      <c r="G25">
        <v>4</v>
      </c>
      <c r="H25" s="20">
        <f>IFERROR(INDEX(Materiais!$F:$F,MATCH(A25,Materiais!$A:$A,0)),0)</f>
        <v>32500</v>
      </c>
      <c r="I25" s="20">
        <f>G25*H25</f>
        <v>130000</v>
      </c>
      <c r="J25" s="22">
        <v>46184</v>
      </c>
      <c r="K25" s="22"/>
      <c r="L25" t="str">
        <f ca="1">IF(K25&lt;&gt;"","Recebido",IF(TODAY()&gt;J25,"Atrasado","Em Transito"))</f>
        <v>Atrasado</v>
      </c>
      <c r="M25" t="str">
        <f>IF(K25="","-",IF(K25&lt;=J25,"No Prazo","Atrasado"))</f>
        <v>-</v>
      </c>
      <c r="N25">
        <f ca="1">IF(K25&lt;&gt;"",MAX(0,K25-J25),IF(TODAY()&gt;J25,TODAY()-J25,0))</f>
        <v>73</v>
      </c>
    </row>
    <row r="26" spans="1:14" ht="15" customHeight="1" x14ac:dyDescent="0.25">
      <c r="A26" t="s">
        <v>164</v>
      </c>
      <c r="B26" t="str">
        <f>IFERROR(INDEX(Materiais!$B:$B,MATCH(A26,Materiais!$A:$A,0)),"")</f>
        <v>Sensor de Vibracao</v>
      </c>
      <c r="C26" t="s">
        <v>324</v>
      </c>
      <c r="D26" s="22">
        <v>46122</v>
      </c>
      <c r="E26" t="s">
        <v>142</v>
      </c>
      <c r="F26" t="str">
        <f>IFERROR(INDEX(Fornecedores!$B:$B,MATCH(E26,Fornecedores!$A:$A,0)),"")</f>
        <v>WEG Equipamentos S.A.</v>
      </c>
      <c r="G26">
        <v>10</v>
      </c>
      <c r="H26" s="20">
        <f>IFERROR(INDEX(Materiais!$F:$F,MATCH(A26,Materiais!$A:$A,0)),0)</f>
        <v>1350</v>
      </c>
      <c r="I26" s="20">
        <f>G26*H26</f>
        <v>13500</v>
      </c>
      <c r="J26" s="22">
        <v>46134</v>
      </c>
      <c r="K26" s="22"/>
      <c r="L26" t="str">
        <f ca="1">IF(K26&lt;&gt;"","Recebido",IF(TODAY()&gt;J26,"Atrasado","Em Transito"))</f>
        <v>Atrasado</v>
      </c>
      <c r="M26" t="str">
        <f>IF(K26="","-",IF(K26&lt;=J26,"No Prazo","Atrasado"))</f>
        <v>-</v>
      </c>
      <c r="N26">
        <f ca="1">IF(K26&lt;&gt;"",MAX(0,K26-J26),IF(TODAY()&gt;J26,TODAY()-J26,0))</f>
        <v>123</v>
      </c>
    </row>
    <row r="27" spans="1:14" ht="15" customHeight="1" x14ac:dyDescent="0.25">
      <c r="A27" t="s">
        <v>173</v>
      </c>
      <c r="B27" t="str">
        <f>IFERROR(INDEX(Materiais!$B:$B,MATCH(A27,Materiais!$A:$A,0)),"")</f>
        <v>Contator Tripolar</v>
      </c>
      <c r="C27" t="s">
        <v>325</v>
      </c>
      <c r="D27" s="22">
        <v>46121</v>
      </c>
      <c r="E27" t="s">
        <v>142</v>
      </c>
      <c r="F27" t="str">
        <f>IFERROR(INDEX(Fornecedores!$B:$B,MATCH(E27,Fornecedores!$A:$A,0)),"")</f>
        <v>WEG Equipamentos S.A.</v>
      </c>
      <c r="G27">
        <v>10</v>
      </c>
      <c r="H27" s="20">
        <f>IFERROR(INDEX(Materiais!$F:$F,MATCH(A27,Materiais!$A:$A,0)),0)</f>
        <v>340</v>
      </c>
      <c r="I27" s="20">
        <f>G27*H27</f>
        <v>3400</v>
      </c>
      <c r="J27" s="22">
        <v>46133</v>
      </c>
      <c r="K27" s="22">
        <v>46145</v>
      </c>
      <c r="L27" t="str">
        <f ca="1">IF(K27&lt;&gt;"","Recebido",IF(TODAY()&gt;J27,"Atrasado","Em Transito"))</f>
        <v>Recebido</v>
      </c>
      <c r="M27" t="str">
        <f>IF(K27="","-",IF(K27&lt;=J27,"No Prazo","Atrasado"))</f>
        <v>Atrasado</v>
      </c>
      <c r="N27">
        <f ca="1">IF(K27&lt;&gt;"",MAX(0,K27-J27),IF(TODAY()&gt;J27,TODAY()-J27,0))</f>
        <v>12</v>
      </c>
    </row>
    <row r="28" spans="1:14" ht="15" customHeight="1" x14ac:dyDescent="0.25">
      <c r="A28" t="s">
        <v>184</v>
      </c>
      <c r="B28" t="str">
        <f>IFERROR(INDEX(Materiais!$B:$B,MATCH(A28,Materiais!$A:$A,0)),"")</f>
        <v>Mangueira Hidraulica 1 polegada</v>
      </c>
      <c r="C28" t="s">
        <v>326</v>
      </c>
      <c r="D28" s="22">
        <v>46199</v>
      </c>
      <c r="E28" t="s">
        <v>179</v>
      </c>
      <c r="F28" t="str">
        <f>IFERROR(INDEX(Fornecedores!$B:$B,MATCH(E28,Fornecedores!$A:$A,0)),"")</f>
        <v>Bosch Rexroth Brasil</v>
      </c>
      <c r="G28">
        <v>3</v>
      </c>
      <c r="H28" s="20">
        <f>IFERROR(INDEX(Materiais!$F:$F,MATCH(A28,Materiais!$A:$A,0)),0)</f>
        <v>85</v>
      </c>
      <c r="I28" s="20">
        <f>G28*H28</f>
        <v>255</v>
      </c>
      <c r="J28" s="22">
        <v>46219</v>
      </c>
      <c r="K28" s="22">
        <v>46219</v>
      </c>
      <c r="L28" t="str">
        <f ca="1">IF(K28&lt;&gt;"","Recebido",IF(TODAY()&gt;J28,"Atrasado","Em Transito"))</f>
        <v>Recebido</v>
      </c>
      <c r="M28" t="str">
        <f>IF(K28="","-",IF(K28&lt;=J28,"No Prazo","Atrasado"))</f>
        <v>No Prazo</v>
      </c>
      <c r="N28">
        <f ca="1">IF(K28&lt;&gt;"",MAX(0,K28-J28),IF(TODAY()&gt;J28,TODAY()-J28,0))</f>
        <v>0</v>
      </c>
    </row>
    <row r="29" spans="1:14" ht="15" customHeight="1" x14ac:dyDescent="0.25">
      <c r="A29" t="s">
        <v>194</v>
      </c>
      <c r="B29" t="str">
        <f>IFERROR(INDEX(Materiais!$B:$B,MATCH(A29,Materiais!$A:$A,0)),"")</f>
        <v>Filtro de Oleo Lubrificante</v>
      </c>
      <c r="C29" t="s">
        <v>327</v>
      </c>
      <c r="D29" s="22">
        <v>46140</v>
      </c>
      <c r="E29" t="s">
        <v>100</v>
      </c>
      <c r="F29" t="str">
        <f>IFERROR(INDEX(Fornecedores!$B:$B,MATCH(E29,Fornecedores!$A:$A,0)),"")</f>
        <v>Rolamentos ABC Ltda</v>
      </c>
      <c r="G29">
        <v>3</v>
      </c>
      <c r="H29" s="20">
        <f>IFERROR(INDEX(Materiais!$F:$F,MATCH(A29,Materiais!$A:$A,0)),0)</f>
        <v>95</v>
      </c>
      <c r="I29" s="20">
        <f>G29*H29</f>
        <v>285</v>
      </c>
      <c r="J29" s="22">
        <v>46148</v>
      </c>
      <c r="K29" s="22"/>
      <c r="L29" t="str">
        <f ca="1">IF(K29&lt;&gt;"","Recebido",IF(TODAY()&gt;J29,"Atrasado","Em Transito"))</f>
        <v>Atrasado</v>
      </c>
      <c r="M29" t="str">
        <f>IF(K29="","-",IF(K29&lt;=J29,"No Prazo","Atrasado"))</f>
        <v>-</v>
      </c>
      <c r="N29">
        <f ca="1">IF(K29&lt;&gt;"",MAX(0,K29-J29),IF(TODAY()&gt;J29,TODAY()-J29,0))</f>
        <v>109</v>
      </c>
    </row>
    <row r="30" spans="1:14" ht="15" customHeight="1" x14ac:dyDescent="0.25">
      <c r="A30" t="s">
        <v>206</v>
      </c>
      <c r="B30" t="str">
        <f>IFERROR(INDEX(Materiais!$B:$B,MATCH(A30,Materiais!$A:$A,0)),"")</f>
        <v>Graxa Industrial EP2</v>
      </c>
      <c r="C30" t="s">
        <v>328</v>
      </c>
      <c r="D30" s="22">
        <v>46129</v>
      </c>
      <c r="E30" t="s">
        <v>204</v>
      </c>
      <c r="F30" t="str">
        <f>IFERROR(INDEX(Fornecedores!$B:$B,MATCH(E30,Fornecedores!$A:$A,0)),"")</f>
        <v>Ferragens Industrial XYZ</v>
      </c>
      <c r="G30">
        <v>9</v>
      </c>
      <c r="H30" s="20">
        <f>IFERROR(INDEX(Materiais!$F:$F,MATCH(A30,Materiais!$A:$A,0)),0)</f>
        <v>32</v>
      </c>
      <c r="I30" s="20">
        <f>G30*H30</f>
        <v>288</v>
      </c>
      <c r="J30" s="22">
        <v>46134</v>
      </c>
      <c r="K30" s="22">
        <v>46141</v>
      </c>
      <c r="L30" t="str">
        <f ca="1">IF(K30&lt;&gt;"","Recebido",IF(TODAY()&gt;J30,"Atrasado","Em Transito"))</f>
        <v>Recebido</v>
      </c>
      <c r="M30" t="str">
        <f>IF(K30="","-",IF(K30&lt;=J30,"No Prazo","Atrasado"))</f>
        <v>Atrasado</v>
      </c>
      <c r="N30">
        <f ca="1">IF(K30&lt;&gt;"",MAX(0,K30-J30),IF(TODAY()&gt;J30,TODAY()-J30,0))</f>
        <v>7</v>
      </c>
    </row>
    <row r="31" spans="1:14" ht="15" customHeight="1" x14ac:dyDescent="0.25">
      <c r="A31" t="s">
        <v>217</v>
      </c>
      <c r="B31" t="str">
        <f>IFERROR(INDEX(Materiais!$B:$B,MATCH(A31,Materiais!$A:$A,0)),"")</f>
        <v>Arruela de Pressao M24</v>
      </c>
      <c r="C31" t="s">
        <v>329</v>
      </c>
      <c r="D31" s="22">
        <v>46121</v>
      </c>
      <c r="E31" t="s">
        <v>204</v>
      </c>
      <c r="F31" t="str">
        <f>IFERROR(INDEX(Fornecedores!$B:$B,MATCH(E31,Fornecedores!$A:$A,0)),"")</f>
        <v>Ferragens Industrial XYZ</v>
      </c>
      <c r="G31">
        <v>6</v>
      </c>
      <c r="H31" s="20">
        <f>IFERROR(INDEX(Materiais!$F:$F,MATCH(A31,Materiais!$A:$A,0)),0)</f>
        <v>2.2000000000000002</v>
      </c>
      <c r="I31" s="20">
        <f>G31*H31</f>
        <v>13.200000000000001</v>
      </c>
      <c r="J31" s="22">
        <v>46126</v>
      </c>
      <c r="K31" s="22"/>
      <c r="L31" t="str">
        <f ca="1">IF(K31&lt;&gt;"","Recebido",IF(TODAY()&gt;J31,"Atrasado","Em Transito"))</f>
        <v>Atrasado</v>
      </c>
      <c r="M31" t="str">
        <f>IF(K31="","-",IF(K31&lt;=J31,"No Prazo","Atrasado"))</f>
        <v>-</v>
      </c>
      <c r="N31">
        <f ca="1">IF(K31&lt;&gt;"",MAX(0,K31-J31),IF(TODAY()&gt;J31,TODAY()-J31,0))</f>
        <v>131</v>
      </c>
    </row>
    <row r="32" spans="1:14" ht="15" customHeight="1" x14ac:dyDescent="0.25">
      <c r="A32" t="s">
        <v>206</v>
      </c>
      <c r="B32" t="str">
        <f>IFERROR(INDEX(Materiais!$B:$B,MATCH(A32,Materiais!$A:$A,0)),"")</f>
        <v>Graxa Industrial EP2</v>
      </c>
      <c r="C32" s="34" t="s">
        <v>329</v>
      </c>
      <c r="D32" s="22">
        <v>46129</v>
      </c>
      <c r="E32" t="s">
        <v>204</v>
      </c>
      <c r="F32" t="str">
        <f>IFERROR(INDEX(Fornecedores!$B:$B,MATCH(E32,Fornecedores!$A:$A,0)),"")</f>
        <v>Ferragens Industrial XYZ</v>
      </c>
      <c r="G32">
        <v>9</v>
      </c>
      <c r="H32" s="20">
        <f>IFERROR(INDEX(Materiais!$F:$F,MATCH(A32,Materiais!$A:$A,0)),0)</f>
        <v>32</v>
      </c>
      <c r="I32" s="20">
        <f t="shared" ref="I32" si="0">G32*H32</f>
        <v>288</v>
      </c>
      <c r="J32" s="22">
        <v>46134</v>
      </c>
      <c r="K32" s="22">
        <v>46141</v>
      </c>
      <c r="L32" t="str">
        <f t="shared" ref="L32" ca="1" si="1">IF(K32&lt;&gt;"","Recebido",IF(TODAY()&gt;J32,"Atrasado","Em Transito"))</f>
        <v>Recebido</v>
      </c>
      <c r="M32" t="str">
        <f t="shared" ref="M32" si="2">IF(K32="","-",IF(K32&lt;=J32,"No Prazo","Atrasado"))</f>
        <v>Atrasado</v>
      </c>
      <c r="N32">
        <f t="shared" ref="N32" ca="1" si="3">IF(K32&lt;&gt;"",MAX(0,K32-J32),IF(TODAY()&gt;J32,TODAY()-J32,0))</f>
        <v>7</v>
      </c>
    </row>
    <row r="33" spans="1:14" ht="15" customHeight="1" x14ac:dyDescent="0.25">
      <c r="A33" t="s">
        <v>206</v>
      </c>
      <c r="B33" t="str">
        <f>IFERROR(INDEX(Materiais!$B:$B,MATCH(A33,Materiais!$A:$A,0)),"")</f>
        <v>Graxa Industrial EP2</v>
      </c>
      <c r="C33">
        <v>457029</v>
      </c>
      <c r="D33" s="22">
        <v>46129</v>
      </c>
      <c r="E33" t="s">
        <v>204</v>
      </c>
      <c r="F33" t="str">
        <f>IFERROR(INDEX(Fornecedores!$B:$B,MATCH(E33,Fornecedores!$A:$A,0)),"")</f>
        <v>Ferragens Industrial XYZ</v>
      </c>
      <c r="G33">
        <v>9</v>
      </c>
      <c r="H33" s="20">
        <f>IFERROR(INDEX(Materiais!$F:$F,MATCH(A33,Materiais!$A:$A,0)),0)</f>
        <v>32</v>
      </c>
      <c r="I33" s="20">
        <f>G33*H33</f>
        <v>288</v>
      </c>
      <c r="J33" s="22">
        <v>46134</v>
      </c>
      <c r="K33" s="22">
        <v>46141</v>
      </c>
      <c r="L33" t="str">
        <f ca="1">IF(K33&lt;&gt;"","Recebido",IF(TODAY()&gt;J33,"Atrasado","Em Transito"))</f>
        <v>Recebido</v>
      </c>
      <c r="M33" t="str">
        <f>IF(K33="","-",IF(K33&lt;=J33,"No Prazo","Atrasado"))</f>
        <v>Atrasado</v>
      </c>
      <c r="N33">
        <f ca="1">IF(K33&lt;&gt;"",MAX(0,K33-J33),IF(TODAY()&gt;J33,TODAY()-J33,0))</f>
        <v>7</v>
      </c>
    </row>
  </sheetData>
  <conditionalFormatting sqref="L2:L33">
    <cfRule type="expression" dxfId="3" priority="2">
      <formula>L2="Atrasado"</formula>
    </cfRule>
    <cfRule type="expression" dxfId="2" priority="3">
      <formula>L2="Em Transito"</formula>
    </cfRule>
    <cfRule type="expression" dxfId="1" priority="4">
      <formula>L2="Recebido"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2"/>
  <sheetViews>
    <sheetView showGridLines="0" topLeftCell="A23" zoomScaleNormal="100" workbookViewId="0">
      <selection activeCell="I15" sqref="I15:J20"/>
    </sheetView>
  </sheetViews>
  <sheetFormatPr defaultColWidth="8.7109375" defaultRowHeight="15" x14ac:dyDescent="0.25"/>
  <cols>
    <col min="1" max="1" width="26" customWidth="1"/>
    <col min="2" max="2" width="18" customWidth="1"/>
    <col min="3" max="3" width="16" customWidth="1"/>
    <col min="6" max="6" width="18" bestFit="1" customWidth="1"/>
    <col min="7" max="7" width="23.85546875" bestFit="1" customWidth="1"/>
    <col min="9" max="9" width="21.85546875" bestFit="1" customWidth="1"/>
    <col min="10" max="10" width="23.5703125" bestFit="1" customWidth="1"/>
  </cols>
  <sheetData>
    <row r="1" spans="1:10" ht="15" customHeight="1" x14ac:dyDescent="0.25">
      <c r="A1" s="32" t="s">
        <v>330</v>
      </c>
      <c r="B1" s="32"/>
      <c r="C1" s="32"/>
      <c r="D1" s="24"/>
      <c r="E1" s="24"/>
      <c r="F1" s="24"/>
      <c r="G1" s="24"/>
    </row>
    <row r="2" spans="1:10" ht="15" customHeight="1" x14ac:dyDescent="0.25">
      <c r="A2" s="25" t="s">
        <v>45</v>
      </c>
      <c r="B2" s="25" t="s">
        <v>331</v>
      </c>
      <c r="C2" s="24"/>
      <c r="D2" s="24"/>
      <c r="E2" s="24"/>
      <c r="F2" s="24"/>
      <c r="G2" s="24"/>
    </row>
    <row r="3" spans="1:10" ht="15" customHeight="1" x14ac:dyDescent="0.25">
      <c r="A3" s="24" t="s">
        <v>133</v>
      </c>
      <c r="B3" s="26">
        <f>SUMIF(Materiais!$C:$C,A3,Materiais!$P:$P)</f>
        <v>7665</v>
      </c>
      <c r="C3" s="24"/>
      <c r="D3" s="24"/>
      <c r="E3" s="24"/>
      <c r="F3" s="24"/>
      <c r="G3" s="24"/>
    </row>
    <row r="4" spans="1:10" ht="15" customHeight="1" x14ac:dyDescent="0.25">
      <c r="A4" s="24" t="s">
        <v>156</v>
      </c>
      <c r="B4" s="26">
        <f>SUMIF(Materiais!$C:$C,A4,Materiais!$P:$P)</f>
        <v>144040</v>
      </c>
      <c r="C4" s="24"/>
      <c r="D4" s="24"/>
      <c r="E4" s="24"/>
      <c r="F4" s="24"/>
      <c r="G4" s="24"/>
    </row>
    <row r="5" spans="1:10" ht="15" customHeight="1" x14ac:dyDescent="0.25">
      <c r="A5" s="24" t="s">
        <v>69</v>
      </c>
      <c r="B5" s="26">
        <f>SUMIF(Materiais!$C:$C,A5,Materiais!$P:$P)</f>
        <v>82450</v>
      </c>
      <c r="C5" s="24"/>
      <c r="D5" s="24"/>
      <c r="E5" s="24"/>
      <c r="F5" s="24"/>
      <c r="G5" s="24"/>
    </row>
    <row r="6" spans="1:10" ht="15" customHeight="1" x14ac:dyDescent="0.25">
      <c r="A6" s="24" t="s">
        <v>192</v>
      </c>
      <c r="B6" s="26">
        <f>SUMIF(Materiais!$C:$C,A6,Materiais!$P:$P)</f>
        <v>9990</v>
      </c>
      <c r="C6" s="24"/>
      <c r="D6" s="24"/>
      <c r="E6" s="24"/>
      <c r="F6" s="24"/>
      <c r="G6" s="24"/>
    </row>
    <row r="7" spans="1:10" ht="15" customHeight="1" x14ac:dyDescent="0.25">
      <c r="A7" s="24" t="s">
        <v>212</v>
      </c>
      <c r="B7" s="26">
        <f>SUMIF(Materiais!$C:$C,A7,Materiais!$P:$P)</f>
        <v>12102.5</v>
      </c>
      <c r="C7" s="24"/>
      <c r="D7" s="24"/>
      <c r="E7" s="24"/>
      <c r="F7" s="24"/>
      <c r="G7" s="24"/>
    </row>
    <row r="8" spans="1:10" ht="15" customHeight="1" x14ac:dyDescent="0.25">
      <c r="A8" s="24" t="s">
        <v>178</v>
      </c>
      <c r="B8" s="26">
        <f>SUMIF(Materiais!$C:$C,A8,Materiais!$P:$P)</f>
        <v>73400</v>
      </c>
      <c r="C8" s="24"/>
      <c r="D8" s="24"/>
      <c r="E8" s="24"/>
      <c r="F8" s="24"/>
      <c r="G8" s="24"/>
    </row>
    <row r="9" spans="1:10" ht="15" customHeight="1" x14ac:dyDescent="0.25">
      <c r="A9" s="24" t="s">
        <v>202</v>
      </c>
      <c r="B9" s="26">
        <f>SUMIF(Materiais!$C:$C,A9,Materiais!$P:$P)</f>
        <v>7600</v>
      </c>
      <c r="C9" s="24"/>
      <c r="D9" s="24"/>
      <c r="E9" s="24"/>
      <c r="F9" s="24"/>
      <c r="G9" s="24"/>
    </row>
    <row r="10" spans="1:10" ht="15" customHeight="1" x14ac:dyDescent="0.25">
      <c r="A10" s="24" t="s">
        <v>149</v>
      </c>
      <c r="B10" s="26">
        <f>SUMIF(Materiais!$C:$C,A10,Materiais!$P:$P)</f>
        <v>29200</v>
      </c>
      <c r="C10" s="24"/>
      <c r="D10" s="24"/>
      <c r="E10" s="24"/>
      <c r="F10" s="24"/>
      <c r="G10" s="24"/>
    </row>
    <row r="11" spans="1:10" ht="15" customHeight="1" x14ac:dyDescent="0.25">
      <c r="A11" s="24" t="s">
        <v>79</v>
      </c>
      <c r="B11" s="26">
        <f>SUMIF(Materiais!$C:$C,A11,Materiais!$P:$P)</f>
        <v>145360</v>
      </c>
      <c r="C11" s="24"/>
      <c r="D11" s="24"/>
      <c r="E11" s="24"/>
      <c r="F11" s="24"/>
      <c r="G11" s="24"/>
    </row>
    <row r="12" spans="1:10" ht="15" customHeight="1" x14ac:dyDescent="0.25">
      <c r="A12" s="24" t="s">
        <v>113</v>
      </c>
      <c r="B12" s="26">
        <f>SUMIF(Materiais!$C:$C,A12,Materiais!$P:$P)</f>
        <v>46628</v>
      </c>
      <c r="C12" s="24"/>
      <c r="D12" s="24"/>
      <c r="E12" s="24"/>
      <c r="F12" s="24"/>
      <c r="G12" s="24"/>
    </row>
    <row r="13" spans="1:10" ht="15" customHeight="1" x14ac:dyDescent="0.25">
      <c r="A13" s="24"/>
      <c r="B13" s="24"/>
      <c r="C13" s="24"/>
      <c r="D13" s="24"/>
      <c r="E13" s="24"/>
      <c r="F13" s="24"/>
      <c r="G13" s="24"/>
    </row>
    <row r="14" spans="1:10" ht="15" customHeight="1" x14ac:dyDescent="0.25">
      <c r="A14" s="24"/>
      <c r="B14" s="24"/>
      <c r="C14" s="24"/>
      <c r="D14" s="24"/>
      <c r="E14" s="24"/>
      <c r="F14" s="24"/>
      <c r="G14" s="24"/>
    </row>
    <row r="15" spans="1:10" ht="15" customHeight="1" x14ac:dyDescent="0.25">
      <c r="A15" s="32" t="s">
        <v>332</v>
      </c>
      <c r="B15" s="32"/>
      <c r="C15" s="32"/>
      <c r="D15" s="24"/>
      <c r="E15" s="24"/>
      <c r="F15" s="24"/>
      <c r="G15" s="24"/>
      <c r="I15" s="36" t="s">
        <v>458</v>
      </c>
      <c r="J15" t="s">
        <v>461</v>
      </c>
    </row>
    <row r="16" spans="1:10" ht="15" customHeight="1" x14ac:dyDescent="0.25">
      <c r="A16" s="25" t="s">
        <v>255</v>
      </c>
      <c r="B16" s="25" t="s">
        <v>253</v>
      </c>
      <c r="C16" s="24"/>
      <c r="D16" s="24"/>
      <c r="E16" s="24"/>
      <c r="F16" s="24"/>
      <c r="G16" s="24"/>
      <c r="I16" s="37" t="s">
        <v>263</v>
      </c>
      <c r="J16" s="38">
        <v>2</v>
      </c>
    </row>
    <row r="17" spans="1:10" ht="15" customHeight="1" x14ac:dyDescent="0.25">
      <c r="A17" s="24" t="s">
        <v>266</v>
      </c>
      <c r="B17" s="24">
        <f>GETPIVOTDATA("Numero RC",$I$15,"Status","Pendente")</f>
        <v>8</v>
      </c>
      <c r="C17" s="24"/>
      <c r="D17" s="24"/>
      <c r="E17" s="24"/>
      <c r="F17" s="24"/>
      <c r="G17" s="24"/>
      <c r="I17" s="37" t="s">
        <v>258</v>
      </c>
      <c r="J17" s="38">
        <v>13</v>
      </c>
    </row>
    <row r="18" spans="1:10" ht="15" customHeight="1" x14ac:dyDescent="0.25">
      <c r="A18" s="24" t="s">
        <v>263</v>
      </c>
      <c r="B18" s="24">
        <f>GETPIVOTDATA("Numero RC",$I$15,"Status","Aguardando Aprovacao")</f>
        <v>2</v>
      </c>
      <c r="C18" s="24"/>
      <c r="D18" s="24"/>
      <c r="E18" s="24"/>
      <c r="F18" s="24"/>
      <c r="G18" s="24"/>
      <c r="I18" s="37" t="s">
        <v>261</v>
      </c>
      <c r="J18" s="38">
        <v>7</v>
      </c>
    </row>
    <row r="19" spans="1:10" ht="15" customHeight="1" x14ac:dyDescent="0.25">
      <c r="A19" s="24" t="s">
        <v>261</v>
      </c>
      <c r="B19" s="24">
        <f>GETPIVOTDATA("Numero RC",$I$15,"Status","Em Cotacao")</f>
        <v>7</v>
      </c>
      <c r="C19" s="24"/>
      <c r="D19" s="24"/>
      <c r="E19" s="24"/>
      <c r="F19" s="24"/>
      <c r="G19" s="24"/>
      <c r="I19" s="37" t="s">
        <v>266</v>
      </c>
      <c r="J19" s="38">
        <v>8</v>
      </c>
    </row>
    <row r="20" spans="1:10" ht="15" customHeight="1" x14ac:dyDescent="0.25">
      <c r="A20" s="24" t="s">
        <v>258</v>
      </c>
      <c r="B20" s="24">
        <f>GETPIVOTDATA("Numero RC",$I$15,"Status","Convertida")</f>
        <v>13</v>
      </c>
      <c r="C20" s="24"/>
      <c r="D20" s="24"/>
      <c r="E20" s="24"/>
      <c r="F20" s="24"/>
      <c r="G20" s="24"/>
      <c r="I20" s="37" t="s">
        <v>459</v>
      </c>
      <c r="J20" s="38">
        <v>30</v>
      </c>
    </row>
    <row r="21" spans="1:10" ht="15" customHeight="1" x14ac:dyDescent="0.25">
      <c r="A21" s="24"/>
      <c r="B21" s="24"/>
      <c r="C21" s="24"/>
      <c r="D21" s="24"/>
      <c r="E21" s="24"/>
    </row>
    <row r="22" spans="1:10" ht="15" customHeight="1" x14ac:dyDescent="0.25">
      <c r="A22" s="24"/>
      <c r="B22" s="24"/>
      <c r="C22" s="24"/>
      <c r="D22" s="24"/>
      <c r="E22" s="24"/>
      <c r="F22" s="24"/>
      <c r="G22" s="24"/>
    </row>
    <row r="23" spans="1:10" ht="15" customHeight="1" x14ac:dyDescent="0.25">
      <c r="A23" s="32" t="s">
        <v>333</v>
      </c>
      <c r="B23" s="32"/>
      <c r="C23" s="32"/>
      <c r="D23" s="24"/>
      <c r="E23" s="24"/>
      <c r="F23" s="36" t="s">
        <v>458</v>
      </c>
      <c r="G23" t="s">
        <v>460</v>
      </c>
    </row>
    <row r="24" spans="1:10" ht="15" customHeight="1" x14ac:dyDescent="0.25">
      <c r="A24" s="25" t="s">
        <v>255</v>
      </c>
      <c r="B24" s="25" t="s">
        <v>253</v>
      </c>
      <c r="C24" s="24"/>
      <c r="D24" s="24"/>
      <c r="E24" s="24"/>
      <c r="F24" s="37" t="s">
        <v>335</v>
      </c>
      <c r="G24" s="38">
        <v>13</v>
      </c>
    </row>
    <row r="25" spans="1:10" ht="15" customHeight="1" x14ac:dyDescent="0.25">
      <c r="A25" s="24" t="s">
        <v>334</v>
      </c>
      <c r="B25" s="24">
        <f>GETPIVOTDATA("Numero OC",$F$23,"Status","Em Transito")</f>
        <v>1</v>
      </c>
      <c r="C25" s="24"/>
      <c r="D25" s="24"/>
      <c r="E25" s="24"/>
      <c r="F25" s="37" t="s">
        <v>334</v>
      </c>
      <c r="G25" s="38">
        <v>1</v>
      </c>
    </row>
    <row r="26" spans="1:10" ht="15" customHeight="1" x14ac:dyDescent="0.25">
      <c r="A26" s="24" t="s">
        <v>335</v>
      </c>
      <c r="B26" s="24">
        <f>GETPIVOTDATA("Numero OC",$F$23,"Status","Atrasado")</f>
        <v>13</v>
      </c>
      <c r="C26" s="24"/>
      <c r="D26" s="24"/>
      <c r="E26" s="24"/>
      <c r="F26" s="37" t="s">
        <v>336</v>
      </c>
      <c r="G26" s="38">
        <v>16</v>
      </c>
    </row>
    <row r="27" spans="1:10" ht="15" customHeight="1" x14ac:dyDescent="0.25">
      <c r="A27" s="24" t="s">
        <v>336</v>
      </c>
      <c r="B27" s="24">
        <f>GETPIVOTDATA("Numero OC",$F$23,"Status","Recebido")</f>
        <v>16</v>
      </c>
      <c r="C27" s="24"/>
      <c r="D27" s="24"/>
      <c r="E27" s="24"/>
      <c r="F27" s="37" t="s">
        <v>459</v>
      </c>
      <c r="G27" s="38">
        <v>30</v>
      </c>
    </row>
    <row r="28" spans="1:10" ht="15" customHeight="1" x14ac:dyDescent="0.25">
      <c r="A28" s="24"/>
      <c r="B28" s="24"/>
      <c r="C28" s="24"/>
      <c r="D28" s="24"/>
      <c r="E28" s="24"/>
    </row>
    <row r="29" spans="1:10" ht="15" customHeight="1" x14ac:dyDescent="0.25">
      <c r="A29" s="24"/>
      <c r="B29" s="24"/>
      <c r="C29" s="24"/>
      <c r="D29" s="24"/>
      <c r="E29" s="24"/>
    </row>
    <row r="30" spans="1:10" ht="15" customHeight="1" x14ac:dyDescent="0.25">
      <c r="A30" s="32" t="s">
        <v>337</v>
      </c>
      <c r="B30" s="32"/>
      <c r="C30" s="32"/>
      <c r="D30" s="24"/>
      <c r="E30" s="24"/>
    </row>
    <row r="31" spans="1:10" ht="15" customHeight="1" x14ac:dyDescent="0.25">
      <c r="A31" s="25" t="s">
        <v>338</v>
      </c>
      <c r="B31" s="25" t="s">
        <v>339</v>
      </c>
      <c r="C31" s="24"/>
      <c r="D31" s="24"/>
      <c r="E31" s="24"/>
    </row>
    <row r="32" spans="1:10" ht="15" customHeight="1" x14ac:dyDescent="0.25">
      <c r="A32" s="24" t="s">
        <v>340</v>
      </c>
      <c r="B32" s="24">
        <f>COUNTIF(Materiais!$Q:$Q,"&lt;7")</f>
        <v>45</v>
      </c>
      <c r="C32" s="24"/>
      <c r="D32" s="24"/>
      <c r="E32" s="24"/>
    </row>
    <row r="33" spans="1:7" ht="15" customHeight="1" x14ac:dyDescent="0.25">
      <c r="A33" s="24" t="s">
        <v>341</v>
      </c>
      <c r="B33" s="24">
        <f>COUNTIFS(Materiais!$Q:$Q,"&gt;=7",Materiais!$Q:$Q,"&lt;30")</f>
        <v>0</v>
      </c>
      <c r="C33" s="24"/>
      <c r="D33" s="24"/>
      <c r="E33" s="24"/>
    </row>
    <row r="34" spans="1:7" ht="15" customHeight="1" x14ac:dyDescent="0.25">
      <c r="A34" s="24" t="s">
        <v>342</v>
      </c>
      <c r="B34" s="24">
        <f>COUNTIFS(Materiais!$Q:$Q,"&gt;=30",Materiais!$Q:$Q,"&lt;90")</f>
        <v>0</v>
      </c>
      <c r="C34" s="24"/>
      <c r="D34" s="24"/>
      <c r="E34" s="24"/>
    </row>
    <row r="35" spans="1:7" ht="15" customHeight="1" x14ac:dyDescent="0.25">
      <c r="A35" s="24" t="s">
        <v>343</v>
      </c>
      <c r="B35" s="24">
        <f>COUNTIF(Materiais!$Q:$Q,"&gt;=90")</f>
        <v>0</v>
      </c>
      <c r="C35" s="24"/>
      <c r="D35" s="24"/>
      <c r="E35" s="24"/>
    </row>
    <row r="36" spans="1:7" ht="15" customHeight="1" x14ac:dyDescent="0.25">
      <c r="A36" s="24"/>
      <c r="B36" s="24"/>
      <c r="C36" s="24"/>
      <c r="D36" s="24"/>
      <c r="E36" s="24"/>
    </row>
    <row r="37" spans="1:7" ht="15" customHeight="1" x14ac:dyDescent="0.25">
      <c r="A37" s="24"/>
      <c r="B37" s="24"/>
      <c r="C37" s="24"/>
      <c r="D37" s="24"/>
      <c r="E37" s="24"/>
    </row>
    <row r="38" spans="1:7" ht="15" customHeight="1" x14ac:dyDescent="0.25">
      <c r="A38" s="32" t="s">
        <v>344</v>
      </c>
      <c r="B38" s="32"/>
      <c r="C38" s="32"/>
      <c r="D38" s="24"/>
      <c r="E38" s="24"/>
    </row>
    <row r="39" spans="1:7" ht="15" customHeight="1" x14ac:dyDescent="0.25">
      <c r="A39" s="25" t="s">
        <v>345</v>
      </c>
      <c r="B39" s="25" t="s">
        <v>339</v>
      </c>
      <c r="C39" s="25" t="s">
        <v>331</v>
      </c>
      <c r="D39" s="24"/>
      <c r="E39" s="24"/>
    </row>
    <row r="40" spans="1:7" ht="15" customHeight="1" x14ac:dyDescent="0.25">
      <c r="A40" s="24" t="s">
        <v>346</v>
      </c>
      <c r="B40" s="24">
        <f>COUNTIF(Materiais!$X:$X,A40)</f>
        <v>11</v>
      </c>
      <c r="C40" s="26">
        <f>SUMIF(Materiais!$X:$X,A40,Materiais!$P:$P)</f>
        <v>390710</v>
      </c>
      <c r="D40" s="24"/>
      <c r="E40" s="24"/>
    </row>
    <row r="41" spans="1:7" ht="15" customHeight="1" x14ac:dyDescent="0.25">
      <c r="A41" s="24" t="s">
        <v>347</v>
      </c>
      <c r="B41" s="24">
        <f>COUNTIF(Materiais!$X:$X,A41)</f>
        <v>8</v>
      </c>
      <c r="C41" s="26">
        <f>SUMIF(Materiais!$X:$X,A41,Materiais!$P:$P)</f>
        <v>111080</v>
      </c>
      <c r="D41" s="24"/>
      <c r="E41" s="24"/>
      <c r="G41" s="24"/>
    </row>
    <row r="42" spans="1:7" ht="15" customHeight="1" x14ac:dyDescent="0.25">
      <c r="A42" s="24" t="s">
        <v>348</v>
      </c>
      <c r="B42" s="24">
        <f>COUNTIF(Materiais!$X:$X,A42)</f>
        <v>26</v>
      </c>
      <c r="C42" s="26">
        <f>SUMIF(Materiais!$X:$X,A42,Materiais!$P:$P)</f>
        <v>56645.5</v>
      </c>
      <c r="D42" s="24"/>
      <c r="E42" s="24"/>
      <c r="G42" s="24"/>
    </row>
    <row r="43" spans="1:7" ht="15" customHeight="1" x14ac:dyDescent="0.25">
      <c r="A43" s="24"/>
      <c r="B43" s="24"/>
      <c r="C43" s="24"/>
      <c r="D43" s="24"/>
      <c r="E43" s="24"/>
      <c r="G43" s="24"/>
    </row>
    <row r="44" spans="1:7" ht="15" customHeight="1" x14ac:dyDescent="0.25">
      <c r="A44" s="24"/>
      <c r="B44" s="24"/>
      <c r="C44" s="24"/>
      <c r="D44" s="24"/>
      <c r="E44" s="24"/>
      <c r="G44" s="24"/>
    </row>
    <row r="45" spans="1:7" ht="15" customHeight="1" x14ac:dyDescent="0.25">
      <c r="A45" s="32" t="s">
        <v>349</v>
      </c>
      <c r="B45" s="32"/>
      <c r="C45" s="32"/>
      <c r="D45" s="24"/>
      <c r="E45" s="24"/>
      <c r="G45" s="24"/>
    </row>
    <row r="46" spans="1:7" ht="15" customHeight="1" x14ac:dyDescent="0.25">
      <c r="A46" s="25" t="s">
        <v>338</v>
      </c>
      <c r="B46" s="25" t="s">
        <v>350</v>
      </c>
      <c r="C46" s="24"/>
      <c r="D46" s="24"/>
      <c r="E46" s="24"/>
      <c r="G46" s="24"/>
    </row>
    <row r="47" spans="1:7" ht="15" customHeight="1" x14ac:dyDescent="0.25">
      <c r="A47" s="24" t="s">
        <v>351</v>
      </c>
      <c r="B47" s="26">
        <f ca="1">SUMIFS(Materiais!$P:$P,Materiais!$T:$T,"&gt;=90",Materiais!$T:$T,"&lt;180")</f>
        <v>0</v>
      </c>
      <c r="C47" s="24"/>
      <c r="D47" s="24"/>
      <c r="E47" s="24"/>
      <c r="G47" s="24"/>
    </row>
    <row r="48" spans="1:7" ht="15" customHeight="1" x14ac:dyDescent="0.25">
      <c r="A48" s="24" t="s">
        <v>352</v>
      </c>
      <c r="B48" s="26">
        <f ca="1">SUMIFS(Materiais!$P:$P,Materiais!$T:$T,"&gt;=180",Materiais!$T:$T,"&lt;365")</f>
        <v>0</v>
      </c>
      <c r="C48" s="24"/>
      <c r="D48" s="24"/>
      <c r="E48" s="24"/>
      <c r="G48" s="24"/>
    </row>
    <row r="49" spans="1:7" ht="15" customHeight="1" x14ac:dyDescent="0.25">
      <c r="A49" s="24" t="s">
        <v>353</v>
      </c>
      <c r="B49" s="26">
        <f ca="1">SUMIFS(Materiais!$P:$P,Materiais!$T:$T,"&gt;=365")</f>
        <v>558435.5</v>
      </c>
      <c r="C49" s="24"/>
      <c r="D49" s="24"/>
      <c r="E49" s="24"/>
      <c r="G49" s="24"/>
    </row>
    <row r="50" spans="1:7" ht="15" customHeight="1" x14ac:dyDescent="0.25">
      <c r="A50" s="24"/>
      <c r="B50" s="24"/>
      <c r="C50" s="24"/>
      <c r="D50" s="24"/>
      <c r="E50" s="24"/>
      <c r="G50" s="24"/>
    </row>
    <row r="51" spans="1:7" ht="15" customHeight="1" x14ac:dyDescent="0.25">
      <c r="A51" s="24"/>
      <c r="B51" s="24"/>
      <c r="C51" s="24"/>
      <c r="D51" s="24"/>
      <c r="E51" s="24"/>
      <c r="G51" s="24"/>
    </row>
    <row r="52" spans="1:7" ht="15" customHeight="1" x14ac:dyDescent="0.25">
      <c r="A52" s="32" t="s">
        <v>354</v>
      </c>
      <c r="B52" s="32"/>
      <c r="C52" s="32"/>
      <c r="D52" s="24"/>
      <c r="E52" s="24"/>
      <c r="G52" s="24"/>
    </row>
    <row r="53" spans="1:7" ht="15" customHeight="1" x14ac:dyDescent="0.25">
      <c r="A53" s="25" t="s">
        <v>47</v>
      </c>
      <c r="B53" s="25" t="s">
        <v>355</v>
      </c>
      <c r="C53" s="24"/>
      <c r="D53" s="24"/>
      <c r="E53" s="24"/>
      <c r="G53" s="24"/>
    </row>
    <row r="54" spans="1:7" ht="15" customHeight="1" x14ac:dyDescent="0.25">
      <c r="A54" s="24" t="str">
        <f>Fornecedores!B2</f>
        <v>SKF do Brasil Ltda</v>
      </c>
      <c r="B54" s="24">
        <f ca="1">COUNTIFS(Pedidos!$E:$E,Fornecedores!A2,Pedidos!$L:$L,"Atrasado")</f>
        <v>1</v>
      </c>
      <c r="C54" s="24"/>
      <c r="D54" s="24"/>
      <c r="E54" s="24"/>
      <c r="G54" s="24"/>
    </row>
    <row r="55" spans="1:7" ht="15" customHeight="1" x14ac:dyDescent="0.25">
      <c r="A55" s="24" t="str">
        <f>Fornecedores!B3</f>
        <v>Metso Outotec Brasil</v>
      </c>
      <c r="B55" s="24">
        <f ca="1">COUNTIFS(Pedidos!$E:$E,Fornecedores!A3,Pedidos!$L:$L,"Atrasado")</f>
        <v>2</v>
      </c>
      <c r="C55" s="24"/>
      <c r="D55" s="24"/>
      <c r="E55" s="24"/>
      <c r="G55" s="24"/>
    </row>
    <row r="56" spans="1:7" ht="15" customHeight="1" x14ac:dyDescent="0.25">
      <c r="A56" s="24" t="str">
        <f>Fornecedores!B4</f>
        <v>Sandvik Mining Brasil</v>
      </c>
      <c r="B56" s="24">
        <f ca="1">COUNTIFS(Pedidos!$E:$E,Fornecedores!A4,Pedidos!$L:$L,"Atrasado")</f>
        <v>0</v>
      </c>
      <c r="C56" s="24"/>
      <c r="D56" s="24"/>
      <c r="E56" s="24"/>
      <c r="G56" s="24"/>
    </row>
    <row r="57" spans="1:7" ht="15" customHeight="1" x14ac:dyDescent="0.25">
      <c r="A57" s="24" t="str">
        <f>Fornecedores!B5</f>
        <v>WEG Equipamentos S.A.</v>
      </c>
      <c r="B57" s="24">
        <f ca="1">COUNTIFS(Pedidos!$E:$E,Fornecedores!A5,Pedidos!$L:$L,"Atrasado")</f>
        <v>6</v>
      </c>
      <c r="C57" s="24"/>
      <c r="D57" s="24"/>
      <c r="E57" s="24"/>
      <c r="G57" s="24"/>
    </row>
    <row r="58" spans="1:7" ht="15" customHeight="1" x14ac:dyDescent="0.25">
      <c r="A58" s="24" t="str">
        <f>Fornecedores!B6</f>
        <v>Gates Correias Industriais</v>
      </c>
      <c r="B58" s="24">
        <f ca="1">COUNTIFS(Pedidos!$E:$E,Fornecedores!A6,Pedidos!$L:$L,"Atrasado")</f>
        <v>1</v>
      </c>
      <c r="C58" s="24"/>
      <c r="D58" s="24"/>
      <c r="E58" s="24"/>
      <c r="G58" s="24"/>
    </row>
    <row r="59" spans="1:7" ht="15" customHeight="1" x14ac:dyDescent="0.25">
      <c r="A59" s="24" t="str">
        <f>Fornecedores!B7</f>
        <v>Bosch Rexroth Brasil</v>
      </c>
      <c r="B59" s="24">
        <f ca="1">COUNTIFS(Pedidos!$E:$E,Fornecedores!A7,Pedidos!$L:$L,"Atrasado")</f>
        <v>0</v>
      </c>
      <c r="C59" s="24"/>
      <c r="D59" s="24"/>
      <c r="E59" s="24"/>
      <c r="G59" s="24"/>
    </row>
    <row r="60" spans="1:7" ht="15" customHeight="1" x14ac:dyDescent="0.25">
      <c r="A60" s="24" t="str">
        <f>Fornecedores!B8</f>
        <v>Rolamentos ABC Ltda</v>
      </c>
      <c r="B60" s="24">
        <f ca="1">COUNTIFS(Pedidos!$E:$E,Fornecedores!A8,Pedidos!$L:$L,"Atrasado")</f>
        <v>2</v>
      </c>
      <c r="C60" s="24"/>
      <c r="D60" s="24"/>
      <c r="E60" s="24"/>
      <c r="G60" s="24"/>
    </row>
    <row r="61" spans="1:7" ht="15" customHeight="1" x14ac:dyDescent="0.25">
      <c r="A61" s="24" t="str">
        <f>Fornecedores!B9</f>
        <v>Ferragens Industrial XYZ</v>
      </c>
      <c r="B61" s="24">
        <f ca="1">COUNTIFS(Pedidos!$E:$E,Fornecedores!A9,Pedidos!$L:$L,"Atrasado")</f>
        <v>1</v>
      </c>
      <c r="C61" s="24"/>
      <c r="D61" s="24"/>
      <c r="E61" s="24"/>
      <c r="G61" s="24"/>
    </row>
    <row r="62" spans="1:7" ht="15" customHeight="1" x14ac:dyDescent="0.25">
      <c r="A62" s="24"/>
      <c r="B62" s="24"/>
      <c r="C62" s="24"/>
      <c r="D62" s="24"/>
      <c r="E62" s="24"/>
      <c r="G62" s="24"/>
    </row>
  </sheetData>
  <mergeCells count="7">
    <mergeCell ref="A45:C45"/>
    <mergeCell ref="A52:C52"/>
    <mergeCell ref="A1:C1"/>
    <mergeCell ref="A15:C15"/>
    <mergeCell ref="A23:C23"/>
    <mergeCell ref="A30:C30"/>
    <mergeCell ref="A38:C3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Leia-me</vt:lpstr>
      <vt:lpstr>Dashboard</vt:lpstr>
      <vt:lpstr>Materiais</vt:lpstr>
      <vt:lpstr>Fornecedores</vt:lpstr>
      <vt:lpstr>Movimentacoes</vt:lpstr>
      <vt:lpstr>Requisicoes</vt:lpstr>
      <vt:lpstr>Pedidos</vt:lpstr>
      <vt:lpstr>Indicadores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Diego</cp:lastModifiedBy>
  <cp:revision>2</cp:revision>
  <dcterms:created xsi:type="dcterms:W3CDTF">2026-08-22T19:53:25Z</dcterms:created>
  <dcterms:modified xsi:type="dcterms:W3CDTF">2026-08-23T13:06:04Z</dcterms:modified>
  <dc:language>en-US</dc:language>
</cp:coreProperties>
</file>